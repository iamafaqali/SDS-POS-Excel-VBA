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os\new SDS\"/>
    </mc:Choice>
  </mc:AlternateContent>
  <xr:revisionPtr revIDLastSave="0" documentId="13_ncr:1_{43E49A52-54DD-4197-9089-C47642335748}" xr6:coauthVersionLast="47" xr6:coauthVersionMax="47" xr10:uidLastSave="{00000000-0000-0000-0000-000000000000}"/>
  <bookViews>
    <workbookView xWindow="-108" yWindow="-108" windowWidth="23256" windowHeight="12576" tabRatio="944" activeTab="5" xr2:uid="{C2FDBEAD-799C-46A0-A2A8-4321B7335FC5}"/>
  </bookViews>
  <sheets>
    <sheet name="DB_Accounts" sheetId="1" r:id="rId1"/>
    <sheet name="DB_Services" sheetId="2" r:id="rId2"/>
    <sheet name="Purchase_Entry" sheetId="12" r:id="rId3"/>
    <sheet name="DB_Purchases" sheetId="6" r:id="rId4"/>
    <sheet name="DB_Purchase_Details" sheetId="8" r:id="rId5"/>
    <sheet name="Invoice_Entry" sheetId="9" r:id="rId6"/>
    <sheet name="DB_Invoices" sheetId="3" r:id="rId7"/>
    <sheet name="DB_Invoice_Details" sheetId="4" r:id="rId8"/>
    <sheet name="DB_Journal" sheetId="11" r:id="rId9"/>
    <sheet name="DB_Payments" sheetId="13" r:id="rId10"/>
    <sheet name="Drop_Down" sheetId="10" r:id="rId11"/>
    <sheet name="Settings" sheetId="5" r:id="rId12"/>
    <sheet name="Admin_System" sheetId="7" r:id="rId13"/>
  </sheets>
  <definedNames>
    <definedName name="_xlnm.Print_Area" localSheetId="5">Invoice_Entry!$A$1:$G$21</definedName>
    <definedName name="_xlnm.Print_Area" localSheetId="2">Purchase_Entry!$A$1:$G$21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11" l="1"/>
  <c r="A8" i="1"/>
  <c r="A9" i="1"/>
  <c r="A10" i="1"/>
  <c r="A11" i="1"/>
  <c r="A12" i="1"/>
  <c r="A13" i="1"/>
  <c r="G6" i="9"/>
  <c r="B6" i="9"/>
  <c r="B7" i="9"/>
  <c r="B13" i="4"/>
  <c r="J13" i="4"/>
  <c r="B11" i="8"/>
  <c r="B10" i="8"/>
  <c r="J24" i="12"/>
  <c r="B2" i="8"/>
  <c r="B3" i="8"/>
  <c r="B4" i="8"/>
  <c r="B5" i="8"/>
  <c r="B6" i="8"/>
  <c r="B7" i="8"/>
  <c r="B8" i="8"/>
  <c r="B9" i="8"/>
  <c r="B2" i="4"/>
  <c r="J2" i="4" s="1"/>
  <c r="G7" i="12"/>
  <c r="G8" i="12"/>
  <c r="U24" i="12"/>
  <c r="K2" i="12"/>
  <c r="K121" i="12" a="1"/>
  <c r="K121" i="12" s="1"/>
  <c r="K44" i="12" a="1"/>
  <c r="K44" i="12" s="1"/>
  <c r="R24" i="12"/>
  <c r="Q24" i="12"/>
  <c r="K24" i="12"/>
  <c r="L24" i="12" s="1"/>
  <c r="K18" i="12"/>
  <c r="S24" i="12" s="1"/>
  <c r="G18" i="12"/>
  <c r="O24" i="12" s="1"/>
  <c r="G17" i="12"/>
  <c r="N24" i="12" s="1"/>
  <c r="G16" i="12"/>
  <c r="G14" i="12"/>
  <c r="G13" i="12"/>
  <c r="G12" i="12"/>
  <c r="G11" i="12"/>
  <c r="K10" i="12"/>
  <c r="G10" i="12"/>
  <c r="AD9" i="12" a="1"/>
  <c r="AD9" i="12" s="1"/>
  <c r="K6" i="12"/>
  <c r="K4" i="12"/>
  <c r="B8" i="12" s="1"/>
  <c r="AD3" i="12" a="1"/>
  <c r="AD3" i="12" s="1"/>
  <c r="J8" i="4"/>
  <c r="B12" i="4"/>
  <c r="J12" i="4" s="1"/>
  <c r="B11" i="4"/>
  <c r="J11" i="4" s="1"/>
  <c r="G11" i="9"/>
  <c r="G12" i="9"/>
  <c r="G13" i="9"/>
  <c r="G14" i="9"/>
  <c r="G10" i="9"/>
  <c r="B9" i="4"/>
  <c r="J9" i="4" s="1"/>
  <c r="B10" i="4"/>
  <c r="J10" i="4" s="1"/>
  <c r="B7" i="4"/>
  <c r="J7" i="4" s="1"/>
  <c r="B8" i="4"/>
  <c r="G16" i="9"/>
  <c r="I24" i="12" l="1"/>
  <c r="G19" i="12"/>
  <c r="P24" i="12" s="1"/>
  <c r="M24" i="12"/>
  <c r="T24" i="12"/>
  <c r="K18" i="9"/>
  <c r="G18" i="9"/>
  <c r="G17" i="9"/>
  <c r="N24" i="9" s="1"/>
  <c r="K6" i="9"/>
  <c r="K5" i="9"/>
  <c r="K4" i="9"/>
  <c r="B8" i="9" s="1"/>
  <c r="K2" i="9"/>
  <c r="B3" i="4"/>
  <c r="J3" i="4" s="1"/>
  <c r="B4" i="4"/>
  <c r="J4" i="4" s="1"/>
  <c r="B5" i="4"/>
  <c r="J5" i="4" s="1"/>
  <c r="B6" i="4"/>
  <c r="J6" i="4" s="1"/>
  <c r="K10" i="9"/>
  <c r="K7" i="9"/>
  <c r="L24" i="9" s="1"/>
  <c r="K121" i="9" a="1"/>
  <c r="K121" i="9" s="1"/>
  <c r="K44" i="9" a="1"/>
  <c r="K44" i="9" s="1"/>
  <c r="AD3" i="9" a="1"/>
  <c r="AD3" i="9" s="1"/>
  <c r="AD9" i="9" a="1"/>
  <c r="AD9" i="9" s="1"/>
  <c r="R24" i="9"/>
  <c r="Q24" i="9"/>
  <c r="K24" i="9"/>
  <c r="J4" i="2" a="1"/>
  <c r="J4" i="2" s="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I24" i="9" l="1"/>
  <c r="G19" i="9"/>
  <c r="S24" i="9"/>
  <c r="M24" i="9"/>
  <c r="O24" i="9"/>
  <c r="J24" i="9"/>
  <c r="P24" i="9" l="1"/>
  <c r="A2" i="1" l="1"/>
  <c r="A3" i="1"/>
  <c r="A4" i="1"/>
  <c r="A5" i="1"/>
  <c r="A6" i="1"/>
  <c r="A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<sst xmlns="http://schemas.openxmlformats.org/spreadsheetml/2006/main" count="920" uniqueCount="214">
  <si>
    <t>Email</t>
  </si>
  <si>
    <t>Phone</t>
  </si>
  <si>
    <t>Address</t>
  </si>
  <si>
    <t>Country</t>
  </si>
  <si>
    <t>Tax_Number</t>
  </si>
  <si>
    <t>Service_ID</t>
  </si>
  <si>
    <t>Service_Name</t>
  </si>
  <si>
    <t>Description</t>
  </si>
  <si>
    <t>Rate_Type (Fixed/Hourly)</t>
  </si>
  <si>
    <t>Unit_Price</t>
  </si>
  <si>
    <t>Date</t>
  </si>
  <si>
    <t>Sub_Total</t>
  </si>
  <si>
    <t>Tax_Amount</t>
  </si>
  <si>
    <t>Discount</t>
  </si>
  <si>
    <t>Grand_Total</t>
  </si>
  <si>
    <t>Status (Paid/Unpaid)</t>
  </si>
  <si>
    <t>Due_Date</t>
  </si>
  <si>
    <t>Qty_Hours</t>
  </si>
  <si>
    <t>Rate</t>
  </si>
  <si>
    <t>Line_Total</t>
  </si>
  <si>
    <t>Pakistan</t>
  </si>
  <si>
    <t>Account_ID</t>
  </si>
  <si>
    <t>Account_Name</t>
  </si>
  <si>
    <t>Photostate BW</t>
  </si>
  <si>
    <t>Photostate Color</t>
  </si>
  <si>
    <t>Print BW</t>
  </si>
  <si>
    <t>Print Color</t>
  </si>
  <si>
    <t>CNIC Montly</t>
  </si>
  <si>
    <t>CNIC Urgent</t>
  </si>
  <si>
    <t>CNIC Exective</t>
  </si>
  <si>
    <t>B Form Normal</t>
  </si>
  <si>
    <t>B Form Urgent</t>
  </si>
  <si>
    <t>FRC</t>
  </si>
  <si>
    <t>CNIC Cancilation</t>
  </si>
  <si>
    <t>Document Compoisition</t>
  </si>
  <si>
    <t>Birth Certificate 01-10</t>
  </si>
  <si>
    <t>Birth Certificate 10-15</t>
  </si>
  <si>
    <t>Birth Certificate 15-18</t>
  </si>
  <si>
    <t>Birth Certificate 18-30</t>
  </si>
  <si>
    <t>Marriage Certificate Mus.</t>
  </si>
  <si>
    <t>Marriage Certificate Non Mus.</t>
  </si>
  <si>
    <t>Divorce Certificate</t>
  </si>
  <si>
    <t>Death Certificate</t>
  </si>
  <si>
    <t>Service PKR 100</t>
  </si>
  <si>
    <t>Service PKR 200</t>
  </si>
  <si>
    <t>Service PKR 300</t>
  </si>
  <si>
    <t>Service PKR 500</t>
  </si>
  <si>
    <t>Service PKR 1000</t>
  </si>
  <si>
    <t>Service PKR 50</t>
  </si>
  <si>
    <t>Misc. Expenses</t>
  </si>
  <si>
    <t>Transfer Motor Vehile</t>
  </si>
  <si>
    <t>Biomatric Verification</t>
  </si>
  <si>
    <t>Inspection fee</t>
  </si>
  <si>
    <t>Jazz Cash</t>
  </si>
  <si>
    <t>Easypesa</t>
  </si>
  <si>
    <t>Train Tickets</t>
  </si>
  <si>
    <t>Photostate BW-4</t>
  </si>
  <si>
    <t>Photostate Color-10</t>
  </si>
  <si>
    <t>Print BW-4</t>
  </si>
  <si>
    <t>Print Color-30</t>
  </si>
  <si>
    <t>CNIC Montly-1200</t>
  </si>
  <si>
    <t>CNIC Urgent-2000</t>
  </si>
  <si>
    <t>CNIC Exective-3000</t>
  </si>
  <si>
    <t>B Form Normal-200</t>
  </si>
  <si>
    <t>B Form Urgent-700</t>
  </si>
  <si>
    <t>CNIC Cancilation-100</t>
  </si>
  <si>
    <t>Document Compoisition-200</t>
  </si>
  <si>
    <t>Birth Certificate 01-10-900</t>
  </si>
  <si>
    <t>Birth Certificate 10-15-1500</t>
  </si>
  <si>
    <t>Birth Certificate 15-18-2000</t>
  </si>
  <si>
    <t>Birth Certificate 18-30-3000</t>
  </si>
  <si>
    <t>Marriage Certificate Mus.-4000</t>
  </si>
  <si>
    <t>Marriage Certificate Non Mus.-3000</t>
  </si>
  <si>
    <t>Divorce Certificate-8000</t>
  </si>
  <si>
    <t>Death Certificate-4000</t>
  </si>
  <si>
    <t>Service PKR 100-100</t>
  </si>
  <si>
    <t>Service PKR 200-200</t>
  </si>
  <si>
    <t>Service PKR 300-300</t>
  </si>
  <si>
    <t>Service PKR 500-500</t>
  </si>
  <si>
    <t>Service PKR 1000-1000</t>
  </si>
  <si>
    <t>Service PKR 50-50</t>
  </si>
  <si>
    <t>Misc. Expenses-500</t>
  </si>
  <si>
    <t>Transfer Motor Vehile-1500</t>
  </si>
  <si>
    <t>Biomatric Verification-150</t>
  </si>
  <si>
    <t>Inspection fee-700</t>
  </si>
  <si>
    <t>Jazz Cash-1</t>
  </si>
  <si>
    <t>Easypesa-1</t>
  </si>
  <si>
    <t>Train Tickets-1</t>
  </si>
  <si>
    <t>Photocopy</t>
  </si>
  <si>
    <t>NADRA</t>
  </si>
  <si>
    <t>Word/Excel</t>
  </si>
  <si>
    <t>Union Concil</t>
  </si>
  <si>
    <t>Misc.</t>
  </si>
  <si>
    <t>Excise &amp; Taxation</t>
  </si>
  <si>
    <t>Online Payments</t>
  </si>
  <si>
    <t>Tickets</t>
  </si>
  <si>
    <t>FRC-3000</t>
  </si>
  <si>
    <t>Fixed</t>
  </si>
  <si>
    <t>ANSAR C2</t>
  </si>
  <si>
    <t>ABRAR C2</t>
  </si>
  <si>
    <t>MEHNAZ T</t>
  </si>
  <si>
    <t>OTHERS</t>
  </si>
  <si>
    <t>EXPENSES</t>
  </si>
  <si>
    <t>GPS CHAK 54P</t>
  </si>
  <si>
    <t>-</t>
  </si>
  <si>
    <t>COLONY NO2</t>
  </si>
  <si>
    <t>PULL PALACE</t>
  </si>
  <si>
    <t>HAVELI VARINDAN</t>
  </si>
  <si>
    <t>CHAK 54P</t>
  </si>
  <si>
    <t>Account_Category</t>
  </si>
  <si>
    <t>Account_Type</t>
  </si>
  <si>
    <t>Opening_Balance</t>
  </si>
  <si>
    <t>Current_Balance</t>
  </si>
  <si>
    <t>Service_Category</t>
  </si>
  <si>
    <t>Tax_Applicable</t>
  </si>
  <si>
    <t>Purchase_ID</t>
  </si>
  <si>
    <t>Reference_No</t>
  </si>
  <si>
    <t>Payment_Method</t>
  </si>
  <si>
    <t>Expiry_Date</t>
  </si>
  <si>
    <t>Username</t>
  </si>
  <si>
    <t>Password</t>
  </si>
  <si>
    <t>Status</t>
  </si>
  <si>
    <t>Start_Date</t>
  </si>
  <si>
    <t>admin</t>
  </si>
  <si>
    <t>Active</t>
  </si>
  <si>
    <t>Supplier</t>
  </si>
  <si>
    <t>Customer</t>
  </si>
  <si>
    <t>Expenses</t>
  </si>
  <si>
    <t>ACC-0001</t>
  </si>
  <si>
    <t>Invoice_ID</t>
  </si>
  <si>
    <t>Payment_Status</t>
  </si>
  <si>
    <t>Invoice_Date</t>
  </si>
  <si>
    <t>Tax</t>
  </si>
  <si>
    <t>Customer:</t>
  </si>
  <si>
    <t>Address:</t>
  </si>
  <si>
    <t>Qty</t>
  </si>
  <si>
    <t>Amount</t>
  </si>
  <si>
    <t>Tax:</t>
  </si>
  <si>
    <t>Total:</t>
  </si>
  <si>
    <t>SALAAR DIGITAL SERVICES</t>
  </si>
  <si>
    <t>Phone/Whatsapp: 0300-2740001</t>
  </si>
  <si>
    <t>Invoice #:</t>
  </si>
  <si>
    <t>Particulars</t>
  </si>
  <si>
    <t>Discount:</t>
  </si>
  <si>
    <t>Disc</t>
  </si>
  <si>
    <t>Sani Pull, Rahim Yar Khan, Pakistan.</t>
  </si>
  <si>
    <t>SALE INVOICE</t>
  </si>
  <si>
    <t>Contact:</t>
  </si>
  <si>
    <t>Balance:</t>
  </si>
  <si>
    <t>Rate:</t>
  </si>
  <si>
    <t>Payment Method:</t>
  </si>
  <si>
    <t>Payment Status:</t>
  </si>
  <si>
    <t>Service Name:</t>
  </si>
  <si>
    <t>Quantity:</t>
  </si>
  <si>
    <t>Due Date:</t>
  </si>
  <si>
    <t>Sub Total:</t>
  </si>
  <si>
    <t>Inv_ID</t>
  </si>
  <si>
    <t>Inv_Date</t>
  </si>
  <si>
    <t>Acc_Name</t>
  </si>
  <si>
    <t>Acc_ID</t>
  </si>
  <si>
    <t>Sub_Tot</t>
  </si>
  <si>
    <t>Total</t>
  </si>
  <si>
    <t>PayMeth</t>
  </si>
  <si>
    <t>DueDate</t>
  </si>
  <si>
    <t>*</t>
  </si>
  <si>
    <t>Account_ID:</t>
  </si>
  <si>
    <t>Description:</t>
  </si>
  <si>
    <t>Cash</t>
  </si>
  <si>
    <t>Online</t>
  </si>
  <si>
    <t>Credit</t>
  </si>
  <si>
    <t>Paid</t>
  </si>
  <si>
    <t>Un-paid</t>
  </si>
  <si>
    <t>Partially-Paid</t>
  </si>
  <si>
    <t>Payment Method</t>
  </si>
  <si>
    <t>Payment Status</t>
  </si>
  <si>
    <r>
      <t xml:space="preserve">Thank You!
</t>
    </r>
    <r>
      <rPr>
        <b/>
        <sz val="8"/>
        <color theme="1"/>
        <rFont val="Calibri"/>
        <family val="2"/>
        <scheme val="minor"/>
      </rPr>
      <t>Created By Salaar Digital Solutions 0300-2740001</t>
    </r>
  </si>
  <si>
    <t>Journal_ID</t>
  </si>
  <si>
    <t>Debit</t>
  </si>
  <si>
    <t>Testing</t>
  </si>
  <si>
    <t>INV-0002</t>
  </si>
  <si>
    <t>Invoice Date:</t>
  </si>
  <si>
    <t>INV-0003</t>
  </si>
  <si>
    <t xml:space="preserve"> - </t>
  </si>
  <si>
    <t>INV-0004</t>
  </si>
  <si>
    <t>ACC-0003</t>
  </si>
  <si>
    <t>INV-0005</t>
  </si>
  <si>
    <t>ACC-0004</t>
  </si>
  <si>
    <t>Purchase_Date</t>
  </si>
  <si>
    <t>Sale_Category</t>
  </si>
  <si>
    <t>New#:</t>
  </si>
  <si>
    <t>Payment_Meth</t>
  </si>
  <si>
    <t>Ref_No</t>
  </si>
  <si>
    <t>Date:</t>
  </si>
  <si>
    <t>PURCHASE INVOICE</t>
  </si>
  <si>
    <t>Account:</t>
  </si>
  <si>
    <t>Reference_No:</t>
  </si>
  <si>
    <t>Category:</t>
  </si>
  <si>
    <t>Category</t>
  </si>
  <si>
    <t>PI-0002</t>
  </si>
  <si>
    <t>ACC-0002</t>
  </si>
  <si>
    <t>PI-0003</t>
  </si>
  <si>
    <t>PI-0004</t>
  </si>
  <si>
    <t>INV-0006</t>
  </si>
  <si>
    <t>ACC-0006</t>
  </si>
  <si>
    <t>Reference</t>
  </si>
  <si>
    <t>Payment_ID</t>
  </si>
  <si>
    <t>Payment_Type</t>
  </si>
  <si>
    <t>Source_Type</t>
  </si>
  <si>
    <t>Journal_Date</t>
  </si>
  <si>
    <t>Bank</t>
  </si>
  <si>
    <t>Sales Tax Payable</t>
  </si>
  <si>
    <t>Input Tax</t>
  </si>
  <si>
    <t>Purchase</t>
  </si>
  <si>
    <t>Sales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</si>
</sst>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#,##0.00;\(#,##0.00\)"/>
    <numFmt numFmtId="165" formatCode="#,##0;\(#,##0\)"/>
    <numFmt numFmtId="166" formatCode="#,##0.0;\(#,##0.0\)"/>
    <numFmt numFmtId="167" formatCode="[$]dd\-mmm\-yyyy;@" x16r2:formatCode16="[$-en-PK,1]dd\-mmm\-yyyy;@"/>
    <numFmt numFmtId="168" formatCode="_-* #,##0_-;\-* #,##0_-;_-* &quot;-&quot;??_-;_-@_-"/>
    <numFmt numFmtId="169" formatCode="dd\-mmm\-yyyy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4"/>
      <color theme="1"/>
      <name val="Berlin Sans FB Demi"/>
      <family val="2"/>
    </font>
    <font>
      <sz val="11"/>
      <color theme="1"/>
      <name val="Berlin Sans FB Demi"/>
      <family val="2"/>
    </font>
    <font>
      <sz val="12"/>
      <color theme="1"/>
      <name val="Berlin Sans FB Demi"/>
      <family val="2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u/>
      <sz val="10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98">
    <xf numFmtId="0" fontId="0" fillId="0" borderId="0" xfId="0"/>
    <xf numFmtId="0" fontId="0" fillId="3" borderId="2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14" fontId="0" fillId="3" borderId="1" xfId="0" applyNumberFormat="1" applyFont="1" applyFill="1" applyBorder="1"/>
    <xf numFmtId="14" fontId="0" fillId="3" borderId="2" xfId="0" applyNumberFormat="1" applyFont="1" applyFill="1" applyBorder="1"/>
    <xf numFmtId="0" fontId="0" fillId="3" borderId="3" xfId="0" applyNumberFormat="1" applyFont="1" applyFill="1" applyBorder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0" xfId="0" applyNumberFormat="1"/>
    <xf numFmtId="0" fontId="5" fillId="4" borderId="10" xfId="0" applyFont="1" applyFill="1" applyBorder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right" vertical="center"/>
    </xf>
    <xf numFmtId="0" fontId="0" fillId="0" borderId="11" xfId="0" applyBorder="1"/>
    <xf numFmtId="0" fontId="5" fillId="4" borderId="11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horizontal="center" vertical="center" wrapText="1"/>
    </xf>
    <xf numFmtId="43" fontId="5" fillId="4" borderId="13" xfId="1" applyFont="1" applyFill="1" applyBorder="1" applyAlignment="1" applyProtection="1">
      <alignment horizontal="center" vertical="center" wrapText="1"/>
    </xf>
    <xf numFmtId="164" fontId="5" fillId="4" borderId="14" xfId="1" applyNumberFormat="1" applyFont="1" applyFill="1" applyBorder="1" applyAlignment="1" applyProtection="1">
      <alignment horizontal="center" vertical="center" wrapText="1"/>
    </xf>
    <xf numFmtId="0" fontId="5" fillId="4" borderId="10" xfId="0" applyFont="1" applyFill="1" applyBorder="1" applyAlignment="1">
      <alignment horizontal="center" vertical="center" wrapText="1"/>
    </xf>
    <xf numFmtId="165" fontId="5" fillId="4" borderId="11" xfId="1" applyNumberFormat="1" applyFont="1" applyFill="1" applyBorder="1" applyAlignment="1" applyProtection="1">
      <alignment horizontal="center" vertical="center" wrapText="1"/>
    </xf>
    <xf numFmtId="43" fontId="5" fillId="4" borderId="0" xfId="1" applyFont="1" applyFill="1" applyBorder="1" applyAlignment="1" applyProtection="1">
      <alignment horizontal="center" vertical="center" wrapText="1"/>
    </xf>
    <xf numFmtId="164" fontId="5" fillId="4" borderId="11" xfId="1" applyNumberFormat="1" applyFont="1" applyFill="1" applyBorder="1" applyAlignment="1" applyProtection="1">
      <alignment horizontal="center" vertical="center" wrapText="1"/>
    </xf>
    <xf numFmtId="167" fontId="5" fillId="4" borderId="11" xfId="0" applyNumberFormat="1" applyFont="1" applyFill="1" applyBorder="1" applyAlignment="1">
      <alignment horizontal="left" vertical="center"/>
    </xf>
    <xf numFmtId="0" fontId="5" fillId="4" borderId="13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14" fontId="0" fillId="0" borderId="0" xfId="0" applyNumberFormat="1"/>
    <xf numFmtId="0" fontId="5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7" fontId="0" fillId="0" borderId="0" xfId="0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5" fillId="4" borderId="10" xfId="0" applyFont="1" applyFill="1" applyBorder="1" applyAlignment="1">
      <alignment horizontal="center" vertical="center"/>
    </xf>
    <xf numFmtId="168" fontId="5" fillId="4" borderId="0" xfId="1" applyNumberFormat="1" applyFont="1" applyFill="1" applyBorder="1" applyAlignment="1" applyProtection="1">
      <alignment horizontal="center" vertical="center"/>
    </xf>
    <xf numFmtId="165" fontId="5" fillId="4" borderId="11" xfId="1" applyNumberFormat="1" applyFont="1" applyFill="1" applyBorder="1" applyAlignment="1" applyProtection="1">
      <alignment horizontal="center" vertical="center"/>
    </xf>
    <xf numFmtId="14" fontId="5" fillId="4" borderId="0" xfId="0" applyNumberFormat="1" applyFont="1" applyFill="1" applyBorder="1" applyAlignment="1">
      <alignment horizontal="left" vertical="center"/>
    </xf>
    <xf numFmtId="169" fontId="5" fillId="4" borderId="0" xfId="0" applyNumberFormat="1" applyFont="1" applyFill="1" applyAlignment="1">
      <alignment horizontal="right" vertical="center"/>
    </xf>
    <xf numFmtId="14" fontId="11" fillId="0" borderId="0" xfId="0" applyNumberFormat="1" applyFont="1" applyAlignment="1">
      <alignment horizontal="center"/>
    </xf>
    <xf numFmtId="0" fontId="11" fillId="0" borderId="0" xfId="0" applyFont="1" applyBorder="1" applyAlignment="1">
      <alignment horizontal="right"/>
    </xf>
    <xf numFmtId="0" fontId="11" fillId="0" borderId="0" xfId="0" applyFont="1" applyBorder="1" applyAlignment="1">
      <alignment horizontal="center"/>
    </xf>
    <xf numFmtId="169" fontId="11" fillId="0" borderId="0" xfId="0" applyNumberFormat="1" applyFont="1" applyBorder="1" applyAlignment="1">
      <alignment horizontal="center"/>
    </xf>
    <xf numFmtId="0" fontId="14" fillId="0" borderId="0" xfId="0" applyFont="1" applyAlignment="1">
      <alignment horizontal="right" vertical="top"/>
    </xf>
    <xf numFmtId="14" fontId="14" fillId="0" borderId="0" xfId="0" applyNumberFormat="1" applyFont="1" applyAlignment="1">
      <alignment horizontal="center" vertical="top"/>
    </xf>
    <xf numFmtId="0" fontId="11" fillId="0" borderId="0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hidden="1"/>
    </xf>
    <xf numFmtId="0" fontId="11" fillId="0" borderId="0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0" fontId="11" fillId="5" borderId="22" xfId="0" applyFont="1" applyFill="1" applyBorder="1" applyAlignment="1">
      <alignment horizontal="center"/>
    </xf>
    <xf numFmtId="0" fontId="11" fillId="5" borderId="2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0" fontId="15" fillId="2" borderId="2" xfId="0" applyFont="1" applyFill="1" applyBorder="1" applyAlignment="1">
      <alignment horizontal="center"/>
    </xf>
    <xf numFmtId="0" fontId="15" fillId="2" borderId="3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1" fillId="0" borderId="0" xfId="0" applyNumberFormat="1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center"/>
    </xf>
    <xf numFmtId="165" fontId="11" fillId="0" borderId="0" xfId="0" applyNumberFormat="1" applyFont="1" applyAlignment="1">
      <alignment horizontal="center"/>
    </xf>
    <xf numFmtId="0" fontId="5" fillId="4" borderId="0" xfId="0" applyFont="1" applyFill="1" applyBorder="1" applyAlignment="1">
      <alignment vertical="center"/>
    </xf>
    <xf numFmtId="0" fontId="5" fillId="4" borderId="0" xfId="0" applyFont="1" applyFill="1" applyBorder="1" applyAlignment="1">
      <alignment horizontal="right" vertical="center"/>
    </xf>
    <xf numFmtId="49" fontId="5" fillId="4" borderId="19" xfId="0" applyNumberFormat="1" applyFont="1" applyFill="1" applyBorder="1" applyAlignment="1">
      <alignment vertical="center"/>
    </xf>
    <xf numFmtId="49" fontId="5" fillId="4" borderId="19" xfId="0" applyNumberFormat="1" applyFont="1" applyFill="1" applyBorder="1" applyAlignment="1">
      <alignment horizontal="right" vertical="center"/>
    </xf>
    <xf numFmtId="0" fontId="5" fillId="4" borderId="11" xfId="0" applyFont="1" applyFill="1" applyBorder="1" applyAlignment="1">
      <alignment horizontal="left" vertical="center"/>
    </xf>
    <xf numFmtId="0" fontId="5" fillId="0" borderId="11" xfId="0" applyFont="1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7" fillId="4" borderId="7" xfId="0" applyNumberFormat="1" applyFont="1" applyFill="1" applyBorder="1" applyAlignment="1" applyProtection="1">
      <alignment horizontal="center"/>
      <protection locked="0"/>
    </xf>
    <xf numFmtId="49" fontId="7" fillId="4" borderId="8" xfId="0" applyNumberFormat="1" applyFont="1" applyFill="1" applyBorder="1" applyAlignment="1" applyProtection="1">
      <alignment horizontal="center"/>
      <protection locked="0"/>
    </xf>
    <xf numFmtId="49" fontId="8" fillId="4" borderId="8" xfId="0" applyNumberFormat="1" applyFont="1" applyFill="1" applyBorder="1" applyAlignment="1" applyProtection="1">
      <alignment horizontal="center"/>
      <protection locked="0"/>
    </xf>
    <xf numFmtId="49" fontId="8" fillId="4" borderId="9" xfId="0" applyNumberFormat="1" applyFont="1" applyFill="1" applyBorder="1" applyAlignment="1" applyProtection="1">
      <alignment horizontal="center"/>
      <protection locked="0"/>
    </xf>
    <xf numFmtId="49" fontId="9" fillId="4" borderId="10" xfId="0" applyNumberFormat="1" applyFont="1" applyFill="1" applyBorder="1" applyAlignment="1" applyProtection="1">
      <alignment horizontal="center"/>
      <protection locked="0"/>
    </xf>
    <xf numFmtId="49" fontId="9" fillId="4" borderId="0" xfId="0" applyNumberFormat="1" applyFont="1" applyFill="1" applyBorder="1" applyAlignment="1" applyProtection="1">
      <alignment horizontal="center"/>
      <protection locked="0"/>
    </xf>
    <xf numFmtId="49" fontId="9" fillId="4" borderId="0" xfId="0" applyNumberFormat="1" applyFont="1" applyFill="1" applyAlignment="1" applyProtection="1">
      <alignment horizontal="center"/>
      <protection locked="0"/>
    </xf>
    <xf numFmtId="49" fontId="9" fillId="4" borderId="11" xfId="0" applyNumberFormat="1" applyFont="1" applyFill="1" applyBorder="1" applyAlignment="1" applyProtection="1">
      <alignment horizontal="center"/>
      <protection locked="0"/>
    </xf>
    <xf numFmtId="49" fontId="9" fillId="4" borderId="18" xfId="0" applyNumberFormat="1" applyFont="1" applyFill="1" applyBorder="1" applyAlignment="1" applyProtection="1">
      <alignment horizontal="center"/>
      <protection locked="0"/>
    </xf>
    <xf numFmtId="49" fontId="9" fillId="4" borderId="19" xfId="0" applyNumberFormat="1" applyFont="1" applyFill="1" applyBorder="1" applyAlignment="1" applyProtection="1">
      <alignment horizontal="center"/>
      <protection locked="0"/>
    </xf>
    <xf numFmtId="49" fontId="9" fillId="4" borderId="20" xfId="0" applyNumberFormat="1" applyFont="1" applyFill="1" applyBorder="1" applyAlignment="1" applyProtection="1">
      <alignment horizontal="center"/>
      <protection locked="0"/>
    </xf>
    <xf numFmtId="0" fontId="10" fillId="4" borderId="10" xfId="0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11" xfId="0" applyFont="1" applyFill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0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11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left" vertical="center"/>
    </xf>
    <xf numFmtId="0" fontId="5" fillId="4" borderId="10" xfId="0" applyFont="1" applyFill="1" applyBorder="1" applyAlignment="1">
      <alignment horizontal="right"/>
    </xf>
    <xf numFmtId="0" fontId="5" fillId="4" borderId="0" xfId="0" applyFont="1" applyFill="1" applyBorder="1" applyAlignment="1">
      <alignment horizontal="right"/>
    </xf>
    <xf numFmtId="0" fontId="3" fillId="4" borderId="10" xfId="0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5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5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52499</xdr:colOff>
      <xdr:row>3</xdr:row>
      <xdr:rowOff>133406</xdr:rowOff>
    </xdr:from>
    <xdr:to>
      <xdr:col>8</xdr:col>
      <xdr:colOff>742791</xdr:colOff>
      <xdr:row>7</xdr:row>
      <xdr:rowOff>67294</xdr:rowOff>
    </xdr:to>
    <xdr:pic macro="[0]!OpenAccountEntry">
      <xdr:nvPicPr>
        <xdr:cNvPr id="2" name="AddCustomer">
          <a:extLst>
            <a:ext uri="{FF2B5EF4-FFF2-40B4-BE49-F238E27FC236}">
              <a16:creationId xmlns:a16="http://schemas.microsoft.com/office/drawing/2014/main" id="{AA6AA5A6-0CD5-4B7A-851E-EDF734627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5778" b="97778" l="6667" r="98222">
                      <a14:foregroundMark x1="40889" y1="6222" x2="40889" y2="6222"/>
                      <a14:foregroundMark x1="7111" y1="83111" x2="7111" y2="83111"/>
                      <a14:foregroundMark x1="91111" y1="72444" x2="91111" y2="72444"/>
                      <a14:foregroundMark x1="86222" y1="88000" x2="86222" y2="88000"/>
                      <a14:foregroundMark x1="81333" y1="89778" x2="91111" y2="83556"/>
                      <a14:foregroundMark x1="77333" y1="94222" x2="73778" y2="94222"/>
                      <a14:foregroundMark x1="95111" y1="73333" x2="95111" y2="77778"/>
                      <a14:foregroundMark x1="76000" y1="97778" x2="76000" y2="97778"/>
                      <a14:foregroundMark x1="98222" y1="82222" x2="98222" y2="8222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6559" y="750626"/>
          <a:ext cx="690292" cy="665408"/>
        </a:xfrm>
        <a:prstGeom prst="rect">
          <a:avLst/>
        </a:prstGeom>
      </xdr:spPr>
    </xdr:pic>
    <xdr:clientData/>
  </xdr:twoCellAnchor>
  <xdr:twoCellAnchor editAs="absolute">
    <xdr:from>
      <xdr:col>7</xdr:col>
      <xdr:colOff>173368</xdr:colOff>
      <xdr:row>10</xdr:row>
      <xdr:rowOff>57629</xdr:rowOff>
    </xdr:from>
    <xdr:to>
      <xdr:col>8</xdr:col>
      <xdr:colOff>814813</xdr:colOff>
      <xdr:row>11</xdr:row>
      <xdr:rowOff>105931</xdr:rowOff>
    </xdr:to>
    <xdr:sp macro="[0]!OpenLoad_Purchas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F5DD349-B318-4311-8A11-05947F9B9D94}"/>
            </a:ext>
          </a:extLst>
        </xdr:cNvPr>
        <xdr:cNvSpPr/>
      </xdr:nvSpPr>
      <xdr:spPr>
        <a:xfrm>
          <a:off x="5690248" y="1955009"/>
          <a:ext cx="938625" cy="231182"/>
        </a:xfrm>
        <a:prstGeom prst="roundRect">
          <a:avLst/>
        </a:prstGeom>
        <a:gradFill flip="none" rotWithShape="1">
          <a:gsLst>
            <a:gs pos="0">
              <a:schemeClr val="accent1">
                <a:lumMod val="20000"/>
                <a:lumOff val="80000"/>
              </a:schemeClr>
            </a:gs>
            <a:gs pos="84000">
              <a:schemeClr val="accent1">
                <a:lumMod val="40000"/>
                <a:lumOff val="6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n-lt"/>
            </a:rPr>
            <a:t>Load</a:t>
          </a:r>
        </a:p>
      </xdr:txBody>
    </xdr:sp>
    <xdr:clientData/>
  </xdr:twoCellAnchor>
  <xdr:twoCellAnchor editAs="absolute">
    <xdr:from>
      <xdr:col>7</xdr:col>
      <xdr:colOff>173368</xdr:colOff>
      <xdr:row>12</xdr:row>
      <xdr:rowOff>12808</xdr:rowOff>
    </xdr:from>
    <xdr:to>
      <xdr:col>8</xdr:col>
      <xdr:colOff>814813</xdr:colOff>
      <xdr:row>13</xdr:row>
      <xdr:rowOff>61110</xdr:rowOff>
    </xdr:to>
    <xdr:sp macro="[0]!Update_Purchase_Invoic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45F4F4E-A774-49DE-8621-B250EF6ABFA7}"/>
            </a:ext>
          </a:extLst>
        </xdr:cNvPr>
        <xdr:cNvSpPr/>
      </xdr:nvSpPr>
      <xdr:spPr>
        <a:xfrm>
          <a:off x="5690248" y="2275948"/>
          <a:ext cx="938625" cy="231182"/>
        </a:xfrm>
        <a:prstGeom prst="roundRect">
          <a:avLst/>
        </a:prstGeom>
        <a:gradFill flip="none" rotWithShape="1">
          <a:gsLst>
            <a:gs pos="0">
              <a:schemeClr val="accent1">
                <a:lumMod val="20000"/>
                <a:lumOff val="80000"/>
              </a:schemeClr>
            </a:gs>
            <a:gs pos="84000">
              <a:schemeClr val="accent1">
                <a:lumMod val="40000"/>
                <a:lumOff val="6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n-lt"/>
            </a:rPr>
            <a:t>Update</a:t>
          </a:r>
          <a:endParaRPr lang="en-US" sz="12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 editAs="absolute">
    <xdr:from>
      <xdr:col>8</xdr:col>
      <xdr:colOff>957303</xdr:colOff>
      <xdr:row>7</xdr:row>
      <xdr:rowOff>147277</xdr:rowOff>
    </xdr:from>
    <xdr:to>
      <xdr:col>11</xdr:col>
      <xdr:colOff>41622</xdr:colOff>
      <xdr:row>13</xdr:row>
      <xdr:rowOff>179294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108AB03-673A-42D0-ABC9-5E473BD2A51A}"/>
            </a:ext>
          </a:extLst>
        </xdr:cNvPr>
        <xdr:cNvSpPr/>
      </xdr:nvSpPr>
      <xdr:spPr>
        <a:xfrm>
          <a:off x="6771363" y="1496017"/>
          <a:ext cx="2924799" cy="1129297"/>
        </a:xfrm>
        <a:prstGeom prst="roundRect">
          <a:avLst>
            <a:gd name="adj" fmla="val 6611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8</xdr:col>
      <xdr:colOff>957303</xdr:colOff>
      <xdr:row>1</xdr:row>
      <xdr:rowOff>172891</xdr:rowOff>
    </xdr:from>
    <xdr:to>
      <xdr:col>11</xdr:col>
      <xdr:colOff>41622</xdr:colOff>
      <xdr:row>7</xdr:row>
      <xdr:rowOff>19211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61EE08E-FA8F-4EFE-8971-F2BD6D25F061}"/>
            </a:ext>
          </a:extLst>
        </xdr:cNvPr>
        <xdr:cNvSpPr/>
      </xdr:nvSpPr>
      <xdr:spPr>
        <a:xfrm>
          <a:off x="6771363" y="393871"/>
          <a:ext cx="2924799" cy="974080"/>
        </a:xfrm>
        <a:prstGeom prst="roundRect">
          <a:avLst>
            <a:gd name="adj" fmla="val 6611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8</xdr:col>
      <xdr:colOff>957303</xdr:colOff>
      <xdr:row>14</xdr:row>
      <xdr:rowOff>121664</xdr:rowOff>
    </xdr:from>
    <xdr:to>
      <xdr:col>11</xdr:col>
      <xdr:colOff>41622</xdr:colOff>
      <xdr:row>18</xdr:row>
      <xdr:rowOff>70437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FED8F9F-7870-4B64-8775-A021955CC7FA}"/>
            </a:ext>
          </a:extLst>
        </xdr:cNvPr>
        <xdr:cNvSpPr/>
      </xdr:nvSpPr>
      <xdr:spPr>
        <a:xfrm>
          <a:off x="6771363" y="2750564"/>
          <a:ext cx="2924799" cy="680293"/>
        </a:xfrm>
        <a:prstGeom prst="roundRect">
          <a:avLst>
            <a:gd name="adj" fmla="val 6611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9</xdr:col>
      <xdr:colOff>30456</xdr:colOff>
      <xdr:row>14</xdr:row>
      <xdr:rowOff>36856</xdr:rowOff>
    </xdr:from>
    <xdr:to>
      <xdr:col>9</xdr:col>
      <xdr:colOff>1074456</xdr:colOff>
      <xdr:row>15</xdr:row>
      <xdr:rowOff>13158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4E7BB48-F185-4ECC-8B72-6321C0B1F5FB}"/>
            </a:ext>
          </a:extLst>
        </xdr:cNvPr>
        <xdr:cNvSpPr/>
      </xdr:nvSpPr>
      <xdr:spPr>
        <a:xfrm>
          <a:off x="6842736" y="2665756"/>
          <a:ext cx="1044000" cy="159182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 b="1"/>
            <a:t>Payment Informations</a:t>
          </a:r>
        </a:p>
      </xdr:txBody>
    </xdr:sp>
    <xdr:clientData/>
  </xdr:twoCellAnchor>
  <xdr:twoCellAnchor editAs="absolute">
    <xdr:from>
      <xdr:col>9</xdr:col>
      <xdr:colOff>24335</xdr:colOff>
      <xdr:row>7</xdr:row>
      <xdr:rowOff>56349</xdr:rowOff>
    </xdr:from>
    <xdr:to>
      <xdr:col>9</xdr:col>
      <xdr:colOff>1068335</xdr:colOff>
      <xdr:row>8</xdr:row>
      <xdr:rowOff>32652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D512F79-4B82-4F0D-8715-9282ECF3AD13}"/>
            </a:ext>
          </a:extLst>
        </xdr:cNvPr>
        <xdr:cNvSpPr/>
      </xdr:nvSpPr>
      <xdr:spPr>
        <a:xfrm>
          <a:off x="6836615" y="1405089"/>
          <a:ext cx="1044000" cy="159183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 b="1"/>
            <a:t>Service Details</a:t>
          </a:r>
        </a:p>
      </xdr:txBody>
    </xdr:sp>
    <xdr:clientData/>
  </xdr:twoCellAnchor>
  <xdr:twoCellAnchor editAs="absolute">
    <xdr:from>
      <xdr:col>9</xdr:col>
      <xdr:colOff>33694</xdr:colOff>
      <xdr:row>1</xdr:row>
      <xdr:rowOff>62527</xdr:rowOff>
    </xdr:from>
    <xdr:to>
      <xdr:col>9</xdr:col>
      <xdr:colOff>1077694</xdr:colOff>
      <xdr:row>2</xdr:row>
      <xdr:rowOff>26023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A20CAF4C-54E8-4475-A155-EFE36B2D13C0}"/>
            </a:ext>
          </a:extLst>
        </xdr:cNvPr>
        <xdr:cNvSpPr/>
      </xdr:nvSpPr>
      <xdr:spPr>
        <a:xfrm>
          <a:off x="6845974" y="283507"/>
          <a:ext cx="1044000" cy="161616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 b="1"/>
            <a:t>Account Details</a:t>
          </a:r>
        </a:p>
      </xdr:txBody>
    </xdr:sp>
    <xdr:clientData/>
  </xdr:twoCellAnchor>
  <xdr:twoCellAnchor editAs="absolute">
    <xdr:from>
      <xdr:col>7</xdr:col>
      <xdr:colOff>81963</xdr:colOff>
      <xdr:row>18</xdr:row>
      <xdr:rowOff>171612</xdr:rowOff>
    </xdr:from>
    <xdr:to>
      <xdr:col>11</xdr:col>
      <xdr:colOff>44823</xdr:colOff>
      <xdr:row>20</xdr:row>
      <xdr:rowOff>179295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3497041-E3E6-4F88-8B26-1538AD9EE73D}"/>
            </a:ext>
          </a:extLst>
        </xdr:cNvPr>
        <xdr:cNvSpPr/>
      </xdr:nvSpPr>
      <xdr:spPr>
        <a:xfrm>
          <a:off x="5598843" y="3532032"/>
          <a:ext cx="4100520" cy="373443"/>
        </a:xfrm>
        <a:prstGeom prst="roundRect">
          <a:avLst>
            <a:gd name="adj" fmla="val 6611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9</xdr:col>
      <xdr:colOff>877706</xdr:colOff>
      <xdr:row>19</xdr:row>
      <xdr:rowOff>42267</xdr:rowOff>
    </xdr:from>
    <xdr:to>
      <xdr:col>10</xdr:col>
      <xdr:colOff>669924</xdr:colOff>
      <xdr:row>20</xdr:row>
      <xdr:rowOff>108570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3FA8023E-9B9E-4564-ADD0-52D538255080}"/>
            </a:ext>
          </a:extLst>
        </xdr:cNvPr>
        <xdr:cNvGrpSpPr/>
      </xdr:nvGrpSpPr>
      <xdr:grpSpPr>
        <a:xfrm>
          <a:off x="7703689" y="3634553"/>
          <a:ext cx="900000" cy="252000"/>
          <a:chOff x="5726160" y="2799561"/>
          <a:chExt cx="900000" cy="252000"/>
        </a:xfrm>
      </xdr:grpSpPr>
      <xdr:sp macro="[0]!PI_New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E3B57A4-10EB-4BCE-AEED-99A1CB84CF85}"/>
              </a:ext>
            </a:extLst>
          </xdr:cNvPr>
          <xdr:cNvSpPr/>
        </xdr:nvSpPr>
        <xdr:spPr>
          <a:xfrm>
            <a:off x="5726160" y="2799561"/>
            <a:ext cx="900000" cy="252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20000"/>
                  <a:lumOff val="80000"/>
                </a:schemeClr>
              </a:gs>
              <a:gs pos="8400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1">
                <a:solidFill>
                  <a:sysClr val="windowText" lastClr="000000"/>
                </a:solidFill>
                <a:latin typeface="+mn-lt"/>
              </a:rPr>
              <a:t>    New</a:t>
            </a:r>
          </a:p>
        </xdr:txBody>
      </xdr:sp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E425B21-83C7-4071-A957-1CA3C216F27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374" b="92626" l="14881" r="83571">
                        <a14:foregroundMark x1="17262" y1="28461" x2="17262" y2="28461"/>
                        <a14:foregroundMark x1="39524" y1="23545" x2="39524" y2="23545"/>
                        <a14:foregroundMark x1="69405" y1="76067" x2="69405" y2="76067"/>
                        <a14:foregroundMark x1="79524" y1="77749" x2="79524" y2="77749"/>
                        <a14:foregroundMark x1="78095" y1="86805" x2="78095" y2="86805"/>
                        <a14:foregroundMark x1="50000" y1="83571" x2="50000" y2="83571"/>
                        <a14:foregroundMark x1="51190" y1="67658" x2="51190" y2="67658"/>
                        <a14:foregroundMark x1="55952" y1="58215" x2="55952" y2="58215"/>
                        <a14:foregroundMark x1="56548" y1="48512" x2="56548" y2="48512"/>
                        <a14:foregroundMark x1="55952" y1="39198" x2="55952" y2="39198"/>
                        <a14:foregroundMark x1="36905" y1="24838" x2="36905" y2="24838"/>
                        <a14:foregroundMark x1="25595" y1="7374" x2="25595" y2="7374"/>
                        <a14:foregroundMark x1="24405" y1="7374" x2="42262" y2="8021"/>
                        <a14:foregroundMark x1="59881" y1="13842" x2="67619" y2="22251"/>
                        <a14:foregroundMark x1="29405" y1="22898" x2="43095" y2="23545"/>
                        <a14:foregroundMark x1="30000" y1="38551" x2="55714" y2="37516"/>
                        <a14:foregroundMark x1="55714" y1="37516" x2="60476" y2="38163"/>
                        <a14:foregroundMark x1="28810" y1="47865" x2="52262" y2="48383"/>
                        <a14:foregroundMark x1="52262" y1="48383" x2="58333" y2="48254"/>
                        <a14:foregroundMark x1="29405" y1="57568" x2="55000" y2="56921"/>
                        <a14:foregroundMark x1="55000" y1="56921" x2="59524" y2="56921"/>
                        <a14:foregroundMark x1="29762" y1="67658" x2="56786" y2="66882"/>
                        <a14:foregroundMark x1="56786" y1="66882" x2="58095" y2="67658"/>
                        <a14:foregroundMark x1="19048" y1="14230" x2="14881" y2="56016"/>
                        <a14:foregroundMark x1="14881" y1="56016" x2="19881" y2="78008"/>
                        <a14:foregroundMark x1="57500" y1="83571" x2="29762" y2="84476"/>
                        <a14:foregroundMark x1="29762" y1="84476" x2="19286" y2="78008"/>
                        <a14:foregroundMark x1="72024" y1="73092" x2="71429" y2="72186"/>
                        <a14:foregroundMark x1="71429" y1="30401" x2="72500" y2="56921"/>
                        <a14:foregroundMark x1="72500" y1="56921" x2="73571" y2="59897"/>
                        <a14:foregroundMark x1="79286" y1="76455" x2="75000" y2="72186"/>
                        <a14:foregroundMark x1="68452" y1="75162" x2="67857" y2="78008"/>
                        <a14:foregroundMark x1="67857" y1="88357" x2="63452" y2="82277"/>
                        <a14:foregroundMark x1="75952" y1="88357" x2="80119" y2="86805"/>
                        <a14:foregroundMark x1="83690" y1="81630" x2="83690" y2="81630"/>
                        <a14:foregroundMark x1="73810" y1="92626" x2="73810" y2="92626"/>
                        <a14:backgroundMark x1="73810" y1="11902" x2="73810" y2="11902"/>
                        <a14:backgroundMark x1="81905" y1="44631" x2="81905" y2="44631"/>
                        <a14:backgroundMark x1="48810" y1="89651" x2="48810" y2="89651"/>
                        <a14:backgroundMark x1="73214" y1="83182" x2="73214" y2="83182"/>
                        <a14:backgroundMark x1="41905" y1="71798" x2="41905" y2="71798"/>
                        <a14:backgroundMark x1="26786" y1="48900" x2="26786" y2="48900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3937" t="4473" r="14042" b="4457"/>
          <a:stretch/>
        </xdr:blipFill>
        <xdr:spPr>
          <a:xfrm>
            <a:off x="5795042" y="2843092"/>
            <a:ext cx="154687" cy="18000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868114</xdr:colOff>
      <xdr:row>19</xdr:row>
      <xdr:rowOff>42267</xdr:rowOff>
    </xdr:from>
    <xdr:to>
      <xdr:col>9</xdr:col>
      <xdr:colOff>769190</xdr:colOff>
      <xdr:row>20</xdr:row>
      <xdr:rowOff>108570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D9439C60-EE9C-4E2F-8D14-BFBB065B3F70}"/>
            </a:ext>
          </a:extLst>
        </xdr:cNvPr>
        <xdr:cNvGrpSpPr/>
      </xdr:nvGrpSpPr>
      <xdr:grpSpPr>
        <a:xfrm>
          <a:off x="6695173" y="3634553"/>
          <a:ext cx="900000" cy="252000"/>
          <a:chOff x="5725079" y="2430483"/>
          <a:chExt cx="900000" cy="252000"/>
        </a:xfrm>
      </xdr:grpSpPr>
      <xdr:sp macro="[0]!PI_Data_Save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F6A4E41F-D3FA-47D6-B136-1F191241F2F3}"/>
              </a:ext>
            </a:extLst>
          </xdr:cNvPr>
          <xdr:cNvSpPr/>
        </xdr:nvSpPr>
        <xdr:spPr>
          <a:xfrm>
            <a:off x="5725079" y="2430483"/>
            <a:ext cx="900000" cy="252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20000"/>
                  <a:lumOff val="80000"/>
                </a:schemeClr>
              </a:gs>
              <a:gs pos="8400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1">
                <a:solidFill>
                  <a:sysClr val="windowText" lastClr="000000"/>
                </a:solidFill>
                <a:latin typeface="+mn-lt"/>
              </a:rPr>
              <a:t>    Save</a:t>
            </a:r>
          </a:p>
        </xdr:txBody>
      </xdr:sp>
      <xdr:pic macro="[0]!PI_Data_Save">
        <xdr:nvPicPr>
          <xdr:cNvPr id="17" name="Picture 16">
            <a:extLst>
              <a:ext uri="{FF2B5EF4-FFF2-40B4-BE49-F238E27FC236}">
                <a16:creationId xmlns:a16="http://schemas.microsoft.com/office/drawing/2014/main" id="{1517C837-9BE2-40C1-B32F-9002C16E5F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74874" y="2470740"/>
            <a:ext cx="180000" cy="18000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154153</xdr:colOff>
      <xdr:row>19</xdr:row>
      <xdr:rowOff>42267</xdr:rowOff>
    </xdr:from>
    <xdr:to>
      <xdr:col>8</xdr:col>
      <xdr:colOff>759598</xdr:colOff>
      <xdr:row>20</xdr:row>
      <xdr:rowOff>108570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68CB7CB7-E615-43A6-A96A-AB8E3B3D9B84}"/>
            </a:ext>
          </a:extLst>
        </xdr:cNvPr>
        <xdr:cNvGrpSpPr/>
      </xdr:nvGrpSpPr>
      <xdr:grpSpPr>
        <a:xfrm>
          <a:off x="5686657" y="3634553"/>
          <a:ext cx="900000" cy="252000"/>
          <a:chOff x="5725079" y="2055477"/>
          <a:chExt cx="900000" cy="252000"/>
        </a:xfrm>
      </xdr:grpSpPr>
      <xdr:sp macro="[0]!Next_Entry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F60A18F-A03D-420F-BEBC-67477AE185F9}"/>
              </a:ext>
            </a:extLst>
          </xdr:cNvPr>
          <xdr:cNvSpPr/>
        </xdr:nvSpPr>
        <xdr:spPr>
          <a:xfrm>
            <a:off x="5725079" y="2055477"/>
            <a:ext cx="900000" cy="252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20000"/>
                  <a:lumOff val="80000"/>
                </a:schemeClr>
              </a:gs>
              <a:gs pos="8400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50" b="1">
                <a:solidFill>
                  <a:sysClr val="windowText" lastClr="000000"/>
                </a:solidFill>
                <a:latin typeface="+mn-lt"/>
              </a:rPr>
              <a:t>Next Entry</a:t>
            </a:r>
          </a:p>
        </xdr:txBody>
      </xdr:sp>
      <xdr:pic>
        <xdr:nvPicPr>
          <xdr:cNvPr id="20" name="Picture 19">
            <a:extLst>
              <a:ext uri="{FF2B5EF4-FFF2-40B4-BE49-F238E27FC236}">
                <a16:creationId xmlns:a16="http://schemas.microsoft.com/office/drawing/2014/main" id="{1BAE41B7-750B-4FAE-A212-41EADC761F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45579" y="2089261"/>
            <a:ext cx="180000" cy="18000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778441</xdr:colOff>
      <xdr:row>19</xdr:row>
      <xdr:rowOff>42267</xdr:rowOff>
    </xdr:from>
    <xdr:to>
      <xdr:col>10</xdr:col>
      <xdr:colOff>1678441</xdr:colOff>
      <xdr:row>20</xdr:row>
      <xdr:rowOff>108570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2AD9B40E-5406-4662-9C17-F0E0BA19F1F0}"/>
            </a:ext>
          </a:extLst>
        </xdr:cNvPr>
        <xdr:cNvGrpSpPr/>
      </xdr:nvGrpSpPr>
      <xdr:grpSpPr>
        <a:xfrm>
          <a:off x="8712206" y="3634553"/>
          <a:ext cx="900000" cy="252000"/>
          <a:chOff x="5721837" y="3172580"/>
          <a:chExt cx="900000" cy="252000"/>
        </a:xfrm>
      </xdr:grpSpPr>
      <xdr:sp macro="[0]!Print_Preview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C68249C6-FB25-466D-8D6B-2982938BBD2C}"/>
              </a:ext>
            </a:extLst>
          </xdr:cNvPr>
          <xdr:cNvSpPr/>
        </xdr:nvSpPr>
        <xdr:spPr>
          <a:xfrm>
            <a:off x="5721837" y="3172580"/>
            <a:ext cx="900000" cy="252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20000"/>
                  <a:lumOff val="80000"/>
                </a:schemeClr>
              </a:gs>
              <a:gs pos="8400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1">
                <a:solidFill>
                  <a:sysClr val="windowText" lastClr="000000"/>
                </a:solidFill>
                <a:latin typeface="+mn-lt"/>
              </a:rPr>
              <a:t>     Print    </a:t>
            </a:r>
          </a:p>
        </xdr:txBody>
      </xdr:sp>
      <xdr:pic>
        <xdr:nvPicPr>
          <xdr:cNvPr id="23" name="Picture 22">
            <a:extLst>
              <a:ext uri="{FF2B5EF4-FFF2-40B4-BE49-F238E27FC236}">
                <a16:creationId xmlns:a16="http://schemas.microsoft.com/office/drawing/2014/main" id="{9BF3D5DD-2AFB-441B-8DF8-02BEC63D6A7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5763025" y="3208084"/>
            <a:ext cx="216000" cy="18000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121664</xdr:colOff>
      <xdr:row>9</xdr:row>
      <xdr:rowOff>96051</xdr:rowOff>
    </xdr:from>
    <xdr:to>
      <xdr:col>8</xdr:col>
      <xdr:colOff>890067</xdr:colOff>
      <xdr:row>13</xdr:row>
      <xdr:rowOff>134473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D138A664-223E-449A-AA75-54446361BA82}"/>
            </a:ext>
          </a:extLst>
        </xdr:cNvPr>
        <xdr:cNvSpPr/>
      </xdr:nvSpPr>
      <xdr:spPr>
        <a:xfrm>
          <a:off x="5638544" y="1810551"/>
          <a:ext cx="1065583" cy="769942"/>
        </a:xfrm>
        <a:prstGeom prst="roundRect">
          <a:avLst>
            <a:gd name="adj" fmla="val 6611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7</xdr:col>
      <xdr:colOff>202350</xdr:colOff>
      <xdr:row>9</xdr:row>
      <xdr:rowOff>3839</xdr:rowOff>
    </xdr:from>
    <xdr:to>
      <xdr:col>8</xdr:col>
      <xdr:colOff>807795</xdr:colOff>
      <xdr:row>9</xdr:row>
      <xdr:rowOff>165839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886C7305-CBBB-42A1-AB97-5AE234BA8C7E}"/>
            </a:ext>
          </a:extLst>
        </xdr:cNvPr>
        <xdr:cNvSpPr/>
      </xdr:nvSpPr>
      <xdr:spPr>
        <a:xfrm>
          <a:off x="5719230" y="1718339"/>
          <a:ext cx="902625" cy="162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Saved</a:t>
          </a:r>
          <a:r>
            <a:rPr lang="en-US" sz="900" b="1" baseline="0"/>
            <a:t> Invoices</a:t>
          </a:r>
          <a:endParaRPr lang="en-US" sz="9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52499</xdr:colOff>
      <xdr:row>3</xdr:row>
      <xdr:rowOff>133406</xdr:rowOff>
    </xdr:from>
    <xdr:to>
      <xdr:col>8</xdr:col>
      <xdr:colOff>742791</xdr:colOff>
      <xdr:row>7</xdr:row>
      <xdr:rowOff>67294</xdr:rowOff>
    </xdr:to>
    <xdr:pic macro="[0]!OpenAccountEntry">
      <xdr:nvPicPr>
        <xdr:cNvPr id="2" name="AddCustomer">
          <a:extLst>
            <a:ext uri="{FF2B5EF4-FFF2-40B4-BE49-F238E27FC236}">
              <a16:creationId xmlns:a16="http://schemas.microsoft.com/office/drawing/2014/main" id="{79248255-D12D-4A0C-835C-3322902B5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5778" b="97778" l="6667" r="98222">
                      <a14:foregroundMark x1="40889" y1="6222" x2="40889" y2="6222"/>
                      <a14:foregroundMark x1="7111" y1="83111" x2="7111" y2="83111"/>
                      <a14:foregroundMark x1="91111" y1="72444" x2="91111" y2="72444"/>
                      <a14:foregroundMark x1="86222" y1="88000" x2="86222" y2="88000"/>
                      <a14:foregroundMark x1="81333" y1="89778" x2="91111" y2="83556"/>
                      <a14:foregroundMark x1="77333" y1="94222" x2="73778" y2="94222"/>
                      <a14:foregroundMark x1="95111" y1="73333" x2="95111" y2="77778"/>
                      <a14:foregroundMark x1="76000" y1="97778" x2="76000" y2="97778"/>
                      <a14:foregroundMark x1="98222" y1="82222" x2="98222" y2="8222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9558" y="754532"/>
          <a:ext cx="690292" cy="676678"/>
        </a:xfrm>
        <a:prstGeom prst="rect">
          <a:avLst/>
        </a:prstGeom>
      </xdr:spPr>
    </xdr:pic>
    <xdr:clientData/>
  </xdr:twoCellAnchor>
  <xdr:twoCellAnchor editAs="absolute">
    <xdr:from>
      <xdr:col>7</xdr:col>
      <xdr:colOff>173368</xdr:colOff>
      <xdr:row>10</xdr:row>
      <xdr:rowOff>57629</xdr:rowOff>
    </xdr:from>
    <xdr:to>
      <xdr:col>8</xdr:col>
      <xdr:colOff>814813</xdr:colOff>
      <xdr:row>11</xdr:row>
      <xdr:rowOff>105931</xdr:rowOff>
    </xdr:to>
    <xdr:sp macro="[0]!OpenSearchINV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8EB9E6F-1C5B-4635-9EE5-7596213E2E97}"/>
            </a:ext>
          </a:extLst>
        </xdr:cNvPr>
        <xdr:cNvSpPr/>
      </xdr:nvSpPr>
      <xdr:spPr>
        <a:xfrm>
          <a:off x="5705872" y="1978637"/>
          <a:ext cx="936000" cy="234000"/>
        </a:xfrm>
        <a:prstGeom prst="roundRect">
          <a:avLst/>
        </a:prstGeom>
        <a:gradFill flip="none" rotWithShape="1">
          <a:gsLst>
            <a:gs pos="0">
              <a:schemeClr val="accent1">
                <a:lumMod val="20000"/>
                <a:lumOff val="80000"/>
              </a:schemeClr>
            </a:gs>
            <a:gs pos="84000">
              <a:schemeClr val="accent1">
                <a:lumMod val="40000"/>
                <a:lumOff val="6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n-lt"/>
            </a:rPr>
            <a:t>Load</a:t>
          </a:r>
        </a:p>
      </xdr:txBody>
    </xdr:sp>
    <xdr:clientData/>
  </xdr:twoCellAnchor>
  <xdr:twoCellAnchor editAs="absolute">
    <xdr:from>
      <xdr:col>7</xdr:col>
      <xdr:colOff>173368</xdr:colOff>
      <xdr:row>12</xdr:row>
      <xdr:rowOff>12808</xdr:rowOff>
    </xdr:from>
    <xdr:to>
      <xdr:col>8</xdr:col>
      <xdr:colOff>814813</xdr:colOff>
      <xdr:row>13</xdr:row>
      <xdr:rowOff>61110</xdr:rowOff>
    </xdr:to>
    <xdr:sp macro="[0]!Update_Loaded_Invoic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36735946-514E-41CC-8EFB-3830CA2DB47E}"/>
            </a:ext>
          </a:extLst>
        </xdr:cNvPr>
        <xdr:cNvSpPr/>
      </xdr:nvSpPr>
      <xdr:spPr>
        <a:xfrm>
          <a:off x="5705872" y="2305211"/>
          <a:ext cx="936000" cy="234000"/>
        </a:xfrm>
        <a:prstGeom prst="roundRect">
          <a:avLst/>
        </a:prstGeom>
        <a:gradFill flip="none" rotWithShape="1">
          <a:gsLst>
            <a:gs pos="0">
              <a:schemeClr val="accent1">
                <a:lumMod val="20000"/>
                <a:lumOff val="80000"/>
              </a:schemeClr>
            </a:gs>
            <a:gs pos="84000">
              <a:schemeClr val="accent1">
                <a:lumMod val="40000"/>
                <a:lumOff val="6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n-lt"/>
            </a:rPr>
            <a:t>Update</a:t>
          </a:r>
          <a:endParaRPr lang="en-US" sz="12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 editAs="absolute">
    <xdr:from>
      <xdr:col>8</xdr:col>
      <xdr:colOff>957303</xdr:colOff>
      <xdr:row>7</xdr:row>
      <xdr:rowOff>147277</xdr:rowOff>
    </xdr:from>
    <xdr:to>
      <xdr:col>11</xdr:col>
      <xdr:colOff>41622</xdr:colOff>
      <xdr:row>13</xdr:row>
      <xdr:rowOff>179294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FE1BEC2-1313-40A1-BDBE-C3783BCBEE25}"/>
            </a:ext>
          </a:extLst>
        </xdr:cNvPr>
        <xdr:cNvSpPr/>
      </xdr:nvSpPr>
      <xdr:spPr>
        <a:xfrm>
          <a:off x="6784362" y="1511193"/>
          <a:ext cx="2926336" cy="1146202"/>
        </a:xfrm>
        <a:prstGeom prst="roundRect">
          <a:avLst>
            <a:gd name="adj" fmla="val 6611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8</xdr:col>
      <xdr:colOff>957303</xdr:colOff>
      <xdr:row>1</xdr:row>
      <xdr:rowOff>172891</xdr:rowOff>
    </xdr:from>
    <xdr:to>
      <xdr:col>11</xdr:col>
      <xdr:colOff>41622</xdr:colOff>
      <xdr:row>7</xdr:row>
      <xdr:rowOff>19211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1D843B81-59E3-4B52-BD34-4B7E112881BC}"/>
            </a:ext>
          </a:extLst>
        </xdr:cNvPr>
        <xdr:cNvSpPr/>
      </xdr:nvSpPr>
      <xdr:spPr>
        <a:xfrm>
          <a:off x="6784362" y="397009"/>
          <a:ext cx="2926336" cy="986118"/>
        </a:xfrm>
        <a:prstGeom prst="roundRect">
          <a:avLst>
            <a:gd name="adj" fmla="val 6611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8</xdr:col>
      <xdr:colOff>957303</xdr:colOff>
      <xdr:row>14</xdr:row>
      <xdr:rowOff>121664</xdr:rowOff>
    </xdr:from>
    <xdr:to>
      <xdr:col>11</xdr:col>
      <xdr:colOff>41622</xdr:colOff>
      <xdr:row>18</xdr:row>
      <xdr:rowOff>70437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35125F19-6117-44E6-9344-FE155D7038FB}"/>
            </a:ext>
          </a:extLst>
        </xdr:cNvPr>
        <xdr:cNvSpPr/>
      </xdr:nvSpPr>
      <xdr:spPr>
        <a:xfrm>
          <a:off x="6784362" y="2785462"/>
          <a:ext cx="2926336" cy="691563"/>
        </a:xfrm>
        <a:prstGeom prst="roundRect">
          <a:avLst>
            <a:gd name="adj" fmla="val 6611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9</xdr:col>
      <xdr:colOff>30456</xdr:colOff>
      <xdr:row>14</xdr:row>
      <xdr:rowOff>36856</xdr:rowOff>
    </xdr:from>
    <xdr:to>
      <xdr:col>9</xdr:col>
      <xdr:colOff>1074456</xdr:colOff>
      <xdr:row>15</xdr:row>
      <xdr:rowOff>13158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530A9937-20A9-4423-8F04-B23DDADCFA84}"/>
            </a:ext>
          </a:extLst>
        </xdr:cNvPr>
        <xdr:cNvSpPr/>
      </xdr:nvSpPr>
      <xdr:spPr>
        <a:xfrm>
          <a:off x="6856439" y="2700654"/>
          <a:ext cx="1044000" cy="162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 b="1"/>
            <a:t>Payment Informations</a:t>
          </a:r>
        </a:p>
      </xdr:txBody>
    </xdr:sp>
    <xdr:clientData/>
  </xdr:twoCellAnchor>
  <xdr:twoCellAnchor editAs="absolute">
    <xdr:from>
      <xdr:col>9</xdr:col>
      <xdr:colOff>24335</xdr:colOff>
      <xdr:row>7</xdr:row>
      <xdr:rowOff>56349</xdr:rowOff>
    </xdr:from>
    <xdr:to>
      <xdr:col>9</xdr:col>
      <xdr:colOff>1068335</xdr:colOff>
      <xdr:row>8</xdr:row>
      <xdr:rowOff>32652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C8C2DD-E5D0-4895-AEF1-845C1F109172}"/>
            </a:ext>
          </a:extLst>
        </xdr:cNvPr>
        <xdr:cNvSpPr/>
      </xdr:nvSpPr>
      <xdr:spPr>
        <a:xfrm>
          <a:off x="6850318" y="1420265"/>
          <a:ext cx="1044000" cy="162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 b="1"/>
            <a:t>Service Details</a:t>
          </a:r>
        </a:p>
      </xdr:txBody>
    </xdr:sp>
    <xdr:clientData/>
  </xdr:twoCellAnchor>
  <xdr:twoCellAnchor editAs="absolute">
    <xdr:from>
      <xdr:col>9</xdr:col>
      <xdr:colOff>33694</xdr:colOff>
      <xdr:row>1</xdr:row>
      <xdr:rowOff>62527</xdr:rowOff>
    </xdr:from>
    <xdr:to>
      <xdr:col>9</xdr:col>
      <xdr:colOff>1077694</xdr:colOff>
      <xdr:row>2</xdr:row>
      <xdr:rowOff>26023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8B29C03D-7E83-4A47-A2BA-2E50B65D4B82}"/>
            </a:ext>
          </a:extLst>
        </xdr:cNvPr>
        <xdr:cNvSpPr/>
      </xdr:nvSpPr>
      <xdr:spPr>
        <a:xfrm>
          <a:off x="6859677" y="286645"/>
          <a:ext cx="1044000" cy="162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 b="1"/>
            <a:t>Customer Details</a:t>
          </a:r>
        </a:p>
      </xdr:txBody>
    </xdr:sp>
    <xdr:clientData/>
  </xdr:twoCellAnchor>
  <xdr:twoCellAnchor editAs="absolute">
    <xdr:from>
      <xdr:col>7</xdr:col>
      <xdr:colOff>81963</xdr:colOff>
      <xdr:row>18</xdr:row>
      <xdr:rowOff>171612</xdr:rowOff>
    </xdr:from>
    <xdr:to>
      <xdr:col>11</xdr:col>
      <xdr:colOff>44823</xdr:colOff>
      <xdr:row>20</xdr:row>
      <xdr:rowOff>179295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B45C75EA-165A-42AD-B743-4C789AAA0FF6}"/>
            </a:ext>
          </a:extLst>
        </xdr:cNvPr>
        <xdr:cNvSpPr/>
      </xdr:nvSpPr>
      <xdr:spPr>
        <a:xfrm>
          <a:off x="5614467" y="3578200"/>
          <a:ext cx="4099432" cy="379078"/>
        </a:xfrm>
        <a:prstGeom prst="roundRect">
          <a:avLst>
            <a:gd name="adj" fmla="val 6611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9</xdr:col>
      <xdr:colOff>877706</xdr:colOff>
      <xdr:row>19</xdr:row>
      <xdr:rowOff>42267</xdr:rowOff>
    </xdr:from>
    <xdr:to>
      <xdr:col>10</xdr:col>
      <xdr:colOff>669924</xdr:colOff>
      <xdr:row>20</xdr:row>
      <xdr:rowOff>108570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9188B6B2-4CCF-4874-9D4F-CF51E0513E15}"/>
            </a:ext>
          </a:extLst>
        </xdr:cNvPr>
        <xdr:cNvGrpSpPr/>
      </xdr:nvGrpSpPr>
      <xdr:grpSpPr>
        <a:xfrm>
          <a:off x="7675835" y="3618224"/>
          <a:ext cx="897118" cy="251360"/>
          <a:chOff x="5726160" y="2799561"/>
          <a:chExt cx="900000" cy="252000"/>
        </a:xfrm>
      </xdr:grpSpPr>
      <xdr:sp macro="[0]!NewSal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5E923E7-97C9-41D6-88D7-C68165A5D130}"/>
              </a:ext>
            </a:extLst>
          </xdr:cNvPr>
          <xdr:cNvSpPr/>
        </xdr:nvSpPr>
        <xdr:spPr>
          <a:xfrm>
            <a:off x="5726160" y="2799561"/>
            <a:ext cx="900000" cy="252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20000"/>
                  <a:lumOff val="80000"/>
                </a:schemeClr>
              </a:gs>
              <a:gs pos="8400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1">
                <a:solidFill>
                  <a:sysClr val="windowText" lastClr="000000"/>
                </a:solidFill>
                <a:latin typeface="+mn-lt"/>
              </a:rPr>
              <a:t>    New</a:t>
            </a:r>
          </a:p>
        </xdr:txBody>
      </xdr:sp>
      <xdr:pic>
        <xdr:nvPicPr>
          <xdr:cNvPr id="23" name="Picture 22">
            <a:extLst>
              <a:ext uri="{FF2B5EF4-FFF2-40B4-BE49-F238E27FC236}">
                <a16:creationId xmlns:a16="http://schemas.microsoft.com/office/drawing/2014/main" id="{B7577990-BF3A-4CBC-9355-51C796DC9CC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374" b="92626" l="14881" r="83571">
                        <a14:foregroundMark x1="17262" y1="28461" x2="17262" y2="28461"/>
                        <a14:foregroundMark x1="39524" y1="23545" x2="39524" y2="23545"/>
                        <a14:foregroundMark x1="69405" y1="76067" x2="69405" y2="76067"/>
                        <a14:foregroundMark x1="79524" y1="77749" x2="79524" y2="77749"/>
                        <a14:foregroundMark x1="78095" y1="86805" x2="78095" y2="86805"/>
                        <a14:foregroundMark x1="50000" y1="83571" x2="50000" y2="83571"/>
                        <a14:foregroundMark x1="51190" y1="67658" x2="51190" y2="67658"/>
                        <a14:foregroundMark x1="55952" y1="58215" x2="55952" y2="58215"/>
                        <a14:foregroundMark x1="56548" y1="48512" x2="56548" y2="48512"/>
                        <a14:foregroundMark x1="55952" y1="39198" x2="55952" y2="39198"/>
                        <a14:foregroundMark x1="36905" y1="24838" x2="36905" y2="24838"/>
                        <a14:foregroundMark x1="25595" y1="7374" x2="25595" y2="7374"/>
                        <a14:foregroundMark x1="24405" y1="7374" x2="42262" y2="8021"/>
                        <a14:foregroundMark x1="59881" y1="13842" x2="67619" y2="22251"/>
                        <a14:foregroundMark x1="29405" y1="22898" x2="43095" y2="23545"/>
                        <a14:foregroundMark x1="30000" y1="38551" x2="55714" y2="37516"/>
                        <a14:foregroundMark x1="55714" y1="37516" x2="60476" y2="38163"/>
                        <a14:foregroundMark x1="28810" y1="47865" x2="52262" y2="48383"/>
                        <a14:foregroundMark x1="52262" y1="48383" x2="58333" y2="48254"/>
                        <a14:foregroundMark x1="29405" y1="57568" x2="55000" y2="56921"/>
                        <a14:foregroundMark x1="55000" y1="56921" x2="59524" y2="56921"/>
                        <a14:foregroundMark x1="29762" y1="67658" x2="56786" y2="66882"/>
                        <a14:foregroundMark x1="56786" y1="66882" x2="58095" y2="67658"/>
                        <a14:foregroundMark x1="19048" y1="14230" x2="14881" y2="56016"/>
                        <a14:foregroundMark x1="14881" y1="56016" x2="19881" y2="78008"/>
                        <a14:foregroundMark x1="57500" y1="83571" x2="29762" y2="84476"/>
                        <a14:foregroundMark x1="29762" y1="84476" x2="19286" y2="78008"/>
                        <a14:foregroundMark x1="72024" y1="73092" x2="71429" y2="72186"/>
                        <a14:foregroundMark x1="71429" y1="30401" x2="72500" y2="56921"/>
                        <a14:foregroundMark x1="72500" y1="56921" x2="73571" y2="59897"/>
                        <a14:foregroundMark x1="79286" y1="76455" x2="75000" y2="72186"/>
                        <a14:foregroundMark x1="68452" y1="75162" x2="67857" y2="78008"/>
                        <a14:foregroundMark x1="67857" y1="88357" x2="63452" y2="82277"/>
                        <a14:foregroundMark x1="75952" y1="88357" x2="80119" y2="86805"/>
                        <a14:foregroundMark x1="83690" y1="81630" x2="83690" y2="81630"/>
                        <a14:foregroundMark x1="73810" y1="92626" x2="73810" y2="92626"/>
                        <a14:backgroundMark x1="73810" y1="11902" x2="73810" y2="11902"/>
                        <a14:backgroundMark x1="81905" y1="44631" x2="81905" y2="44631"/>
                        <a14:backgroundMark x1="48810" y1="89651" x2="48810" y2="89651"/>
                        <a14:backgroundMark x1="73214" y1="83182" x2="73214" y2="83182"/>
                        <a14:backgroundMark x1="41905" y1="71798" x2="41905" y2="71798"/>
                        <a14:backgroundMark x1="26786" y1="48900" x2="26786" y2="48900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3937" t="4473" r="14042" b="4457"/>
          <a:stretch/>
        </xdr:blipFill>
        <xdr:spPr>
          <a:xfrm>
            <a:off x="5795042" y="2843092"/>
            <a:ext cx="154687" cy="18000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868114</xdr:colOff>
      <xdr:row>19</xdr:row>
      <xdr:rowOff>42267</xdr:rowOff>
    </xdr:from>
    <xdr:to>
      <xdr:col>9</xdr:col>
      <xdr:colOff>769190</xdr:colOff>
      <xdr:row>20</xdr:row>
      <xdr:rowOff>108570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E8DD6BB3-3D1C-44F1-8161-C98286FE663F}"/>
            </a:ext>
          </a:extLst>
        </xdr:cNvPr>
        <xdr:cNvGrpSpPr/>
      </xdr:nvGrpSpPr>
      <xdr:grpSpPr>
        <a:xfrm>
          <a:off x="6670200" y="3618224"/>
          <a:ext cx="897119" cy="251360"/>
          <a:chOff x="5725079" y="2430483"/>
          <a:chExt cx="900000" cy="252000"/>
        </a:xfrm>
      </xdr:grpSpPr>
      <xdr:sp macro="[0]!Data_Sav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FD094E7-8BF1-42EA-BA2F-F1B96927529A}"/>
              </a:ext>
            </a:extLst>
          </xdr:cNvPr>
          <xdr:cNvSpPr/>
        </xdr:nvSpPr>
        <xdr:spPr>
          <a:xfrm>
            <a:off x="5725079" y="2430483"/>
            <a:ext cx="900000" cy="252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20000"/>
                  <a:lumOff val="80000"/>
                </a:schemeClr>
              </a:gs>
              <a:gs pos="8400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1">
                <a:solidFill>
                  <a:sysClr val="windowText" lastClr="000000"/>
                </a:solidFill>
                <a:latin typeface="+mn-lt"/>
              </a:rPr>
              <a:t>    Save</a:t>
            </a:r>
          </a:p>
        </xdr:txBody>
      </xdr:sp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81ADCEF5-2FF7-418B-8B18-502613D13D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74874" y="2470740"/>
            <a:ext cx="180000" cy="18000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154153</xdr:colOff>
      <xdr:row>19</xdr:row>
      <xdr:rowOff>42267</xdr:rowOff>
    </xdr:from>
    <xdr:to>
      <xdr:col>8</xdr:col>
      <xdr:colOff>759598</xdr:colOff>
      <xdr:row>20</xdr:row>
      <xdr:rowOff>108570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75882036-EF95-4386-BF75-939D8630BC95}"/>
            </a:ext>
          </a:extLst>
        </xdr:cNvPr>
        <xdr:cNvGrpSpPr/>
      </xdr:nvGrpSpPr>
      <xdr:grpSpPr>
        <a:xfrm>
          <a:off x="5656882" y="3618224"/>
          <a:ext cx="904802" cy="251360"/>
          <a:chOff x="5725079" y="2055477"/>
          <a:chExt cx="900000" cy="252000"/>
        </a:xfrm>
      </xdr:grpSpPr>
      <xdr:sp macro="[0]!Next_Entry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A5728A0-484F-469D-B69D-BDC0B31F0841}"/>
              </a:ext>
            </a:extLst>
          </xdr:cNvPr>
          <xdr:cNvSpPr/>
        </xdr:nvSpPr>
        <xdr:spPr>
          <a:xfrm>
            <a:off x="5725079" y="2055477"/>
            <a:ext cx="900000" cy="252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20000"/>
                  <a:lumOff val="80000"/>
                </a:schemeClr>
              </a:gs>
              <a:gs pos="8400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50" b="1">
                <a:solidFill>
                  <a:sysClr val="windowText" lastClr="000000"/>
                </a:solidFill>
                <a:latin typeface="+mn-lt"/>
              </a:rPr>
              <a:t>Next Entry</a:t>
            </a:r>
          </a:p>
        </xdr:txBody>
      </xdr:sp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8984186F-10C5-448A-99CF-1D5B469807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45579" y="2089261"/>
            <a:ext cx="180000" cy="18000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778441</xdr:colOff>
      <xdr:row>19</xdr:row>
      <xdr:rowOff>42267</xdr:rowOff>
    </xdr:from>
    <xdr:to>
      <xdr:col>10</xdr:col>
      <xdr:colOff>1678441</xdr:colOff>
      <xdr:row>20</xdr:row>
      <xdr:rowOff>108570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DEBF163B-D9D2-4EC1-8167-6E78968F802B}"/>
            </a:ext>
          </a:extLst>
        </xdr:cNvPr>
        <xdr:cNvGrpSpPr/>
      </xdr:nvGrpSpPr>
      <xdr:grpSpPr>
        <a:xfrm>
          <a:off x="8681470" y="3618224"/>
          <a:ext cx="900000" cy="251360"/>
          <a:chOff x="5721837" y="3172580"/>
          <a:chExt cx="900000" cy="252000"/>
        </a:xfrm>
      </xdr:grpSpPr>
      <xdr:sp macro="[0]!Print_Preview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58BB4B66-5115-4C18-9A70-49CD32A27795}"/>
              </a:ext>
            </a:extLst>
          </xdr:cNvPr>
          <xdr:cNvSpPr/>
        </xdr:nvSpPr>
        <xdr:spPr>
          <a:xfrm>
            <a:off x="5721837" y="3172580"/>
            <a:ext cx="900000" cy="252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20000"/>
                  <a:lumOff val="80000"/>
                </a:schemeClr>
              </a:gs>
              <a:gs pos="8400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1">
                <a:solidFill>
                  <a:sysClr val="windowText" lastClr="000000"/>
                </a:solidFill>
                <a:latin typeface="+mn-lt"/>
              </a:rPr>
              <a:t>     Print    </a:t>
            </a:r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F32CC3F4-49DF-40E6-907F-D8CD95F4FC44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5763025" y="3208084"/>
            <a:ext cx="216000" cy="18000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121664</xdr:colOff>
      <xdr:row>9</xdr:row>
      <xdr:rowOff>96051</xdr:rowOff>
    </xdr:from>
    <xdr:to>
      <xdr:col>8</xdr:col>
      <xdr:colOff>890067</xdr:colOff>
      <xdr:row>13</xdr:row>
      <xdr:rowOff>134473</xdr:rowOff>
    </xdr:to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7B9BF943-B336-4A5D-8D0D-58C60822AD7F}"/>
            </a:ext>
          </a:extLst>
        </xdr:cNvPr>
        <xdr:cNvSpPr/>
      </xdr:nvSpPr>
      <xdr:spPr>
        <a:xfrm>
          <a:off x="5654168" y="1831362"/>
          <a:ext cx="1062958" cy="781212"/>
        </a:xfrm>
        <a:prstGeom prst="roundRect">
          <a:avLst>
            <a:gd name="adj" fmla="val 6611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7</xdr:col>
      <xdr:colOff>202350</xdr:colOff>
      <xdr:row>9</xdr:row>
      <xdr:rowOff>3839</xdr:rowOff>
    </xdr:from>
    <xdr:to>
      <xdr:col>8</xdr:col>
      <xdr:colOff>807795</xdr:colOff>
      <xdr:row>9</xdr:row>
      <xdr:rowOff>165839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6BD8B274-ACD3-4A69-AB86-6474AECE5FA9}"/>
            </a:ext>
          </a:extLst>
        </xdr:cNvPr>
        <xdr:cNvSpPr/>
      </xdr:nvSpPr>
      <xdr:spPr>
        <a:xfrm>
          <a:off x="5734854" y="1739150"/>
          <a:ext cx="900000" cy="162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Saved</a:t>
          </a:r>
          <a:r>
            <a:rPr lang="en-US" sz="900" b="1" baseline="0"/>
            <a:t> Invoices</a:t>
          </a:r>
          <a:endParaRPr lang="en-US" sz="9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3BA996-93FB-4B17-8A4E-2E55ACA4A68D}" name="TableAccounts" displayName="TableAccounts" ref="A1:K13" totalsRowShown="0">
  <autoFilter ref="A1:K13" xr:uid="{B23BA996-93FB-4B17-8A4E-2E55ACA4A68D}"/>
  <tableColumns count="11">
    <tableColumn id="1" xr3:uid="{47EEB145-188D-4EF9-804C-748477A03158}" name="Account_ID" dataDxfId="4">
      <calculatedColumnFormula>"ACC-" &amp; TEXT(ROW()-1,"0000")</calculatedColumnFormula>
    </tableColumn>
    <tableColumn id="2" xr3:uid="{5B66F53E-F77D-44EF-8A60-30F7DAF9120B}" name="Account_Name"/>
    <tableColumn id="3" xr3:uid="{A66F1DEC-820E-4C13-8DBA-913B2113794F}" name="Email"/>
    <tableColumn id="4" xr3:uid="{E89A862D-E863-4F34-8335-00C8C58A4F8F}" name="Phone"/>
    <tableColumn id="5" xr3:uid="{FCB53816-092C-4509-AFAD-F25868A78A18}" name="Address"/>
    <tableColumn id="6" xr3:uid="{C9831DA5-6B3B-4E6F-9E22-FCDFBA9CC0B2}" name="Country"/>
    <tableColumn id="7" xr3:uid="{109C782C-450F-43C3-AE73-12C776326D02}" name="Tax_Number"/>
    <tableColumn id="8" xr3:uid="{11FADC84-E40A-40BB-80E5-A7F43148E9F5}" name="Account_Category"/>
    <tableColumn id="9" xr3:uid="{84548A07-18B2-4246-B630-387A04853E7D}" name="Account_Type"/>
    <tableColumn id="10" xr3:uid="{38FD817D-3B8E-480A-A21B-F32D7EB49EA7}" name="Opening_Balance"/>
    <tableColumn id="11" xr3:uid="{88644CF8-201F-40FC-BB0A-1693C7AA52AF}" name="Current_Balanc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6ADC6B8-A606-4851-B775-F9A27FCC01E2}" name="TableServices" displayName="TableServices" ref="A1:G34" totalsRowShown="0">
  <autoFilter ref="A1:G34" xr:uid="{D6ADC6B8-A606-4851-B775-F9A27FCC01E2}"/>
  <tableColumns count="7">
    <tableColumn id="1" xr3:uid="{AC8D4938-D32B-48D2-83D9-316BFF852493}" name="Service_ID" dataDxfId="3">
      <calculatedColumnFormula>"SRV-" &amp; TEXT(ROW()-1,"0000")</calculatedColumnFormula>
    </tableColumn>
    <tableColumn id="2" xr3:uid="{B80B987F-766E-4DC9-9557-667542362BB3}" name="Service_Name"/>
    <tableColumn id="3" xr3:uid="{192E310F-D663-4025-A461-92C3BE5C5F81}" name="Description"/>
    <tableColumn id="4" xr3:uid="{9E22CA87-8A91-4D85-B5B6-DF68F91F8D5B}" name="Rate_Type (Fixed/Hourly)"/>
    <tableColumn id="5" xr3:uid="{BC623129-0C47-4469-87E1-AB30CE15FA06}" name="Unit_Price"/>
    <tableColumn id="6" xr3:uid="{F84CB715-8507-4D59-8256-4A6DC1460EBD}" name="Service_Category"/>
    <tableColumn id="7" xr3:uid="{4EE5AA94-0F37-404A-AA87-7ACBC46043E6}" name="Tax_Applicab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BFE5958-18BB-456C-B44F-7401ED75AA3C}" name="TablePurchases" displayName="TablePurchases" ref="A1:M5" totalsRowShown="0">
  <autoFilter ref="A1:M5" xr:uid="{BBFE5958-18BB-456C-B44F-7401ED75AA3C}"/>
  <tableColumns count="13">
    <tableColumn id="1" xr3:uid="{8BFD52C6-DAB7-4F4C-A20B-5D70B1B3576D}" name="Purchase_ID"/>
    <tableColumn id="2" xr3:uid="{70454D6B-91D7-4A77-819E-6E754AC0309C}" name="Purchase_Date"/>
    <tableColumn id="9" xr3:uid="{22114BF1-D2F1-4A76-BE06-1102D6E30429}" name="Account_Name"/>
    <tableColumn id="8" xr3:uid="{3CD13232-ECB9-4F96-9DF0-3C4F84A66755}" name="Account_ID"/>
    <tableColumn id="10" xr3:uid="{2A32746D-49DC-445B-981D-B35D1D9B9F15}" name="Sub_Total"/>
    <tableColumn id="11" xr3:uid="{18396223-7873-4596-A91A-394C876B6E01}" name="Tax_Amount"/>
    <tableColumn id="12" xr3:uid="{2420E052-7C6E-4656-888C-D715985A790A}" name="Discount"/>
    <tableColumn id="13" xr3:uid="{45820635-756A-4128-A667-8C243D8BF42C}" name="Grand_Total"/>
    <tableColumn id="7" xr3:uid="{79D61463-8736-48BB-924A-9CC3DD329F7A}" name="Payment_Method"/>
    <tableColumn id="3" xr3:uid="{8BB5321A-ABFB-4381-8846-F7F35E830BB2}" name="Payment_Status"/>
    <tableColumn id="14" xr3:uid="{34A6AA0C-A7A2-4D3A-AEC0-1DDD5B3FF9A2}" name="Due_Date"/>
    <tableColumn id="4" xr3:uid="{EC30691A-54F6-424B-B7FE-D41653DCC593}" name="Category"/>
    <tableColumn id="6" xr3:uid="{82391482-F6A2-458E-B3FE-9AB93613977B}" name="Reference_N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98C9AB-E749-4D54-A379-6BB599E503A8}" name="TableInvoiceDetails3" displayName="TableInvoiceDetails3" ref="A1:I11" totalsRowShown="0">
  <autoFilter ref="A1:I11" xr:uid="{7FCBDCAE-99FC-4016-8EC5-4DCD86FAD2C3}"/>
  <tableColumns count="9">
    <tableColumn id="2" xr3:uid="{703BD0FE-3DCA-4487-8AFE-7D9A1F6C07F7}" name="Invoice_ID"/>
    <tableColumn id="3" xr3:uid="{F4267A0C-E9EB-4819-9098-50B8B0344741}" name="Service_ID" dataDxfId="2">
      <calculatedColumnFormula>IF(TableInvoiceDetails3[[#This Row],[Service_Name]]&gt;0,_xlfn.XLOOKUP(TableInvoiceDetails3[[#This Row],[Service_Name]],TableServices[Service_Name],TableServices[Service_ID],"-",0,1),"")</calculatedColumnFormula>
    </tableColumn>
    <tableColumn id="8" xr3:uid="{D5C07D60-3E9C-450D-BDF0-58AA780FA3AE}" name="Service_Name"/>
    <tableColumn id="4" xr3:uid="{1833249E-2EDF-464B-80A9-9ADB131B305B}" name="Description"/>
    <tableColumn id="5" xr3:uid="{5C69E9E6-A683-4991-AF25-AC69627EA147}" name="Qty_Hours"/>
    <tableColumn id="11" xr3:uid="{D579F88D-8D38-48C7-AD16-DA32CF6DDFDD}" name="Unit_Price"/>
    <tableColumn id="10" xr3:uid="{394B2EB1-E683-4C12-BB5E-006404EB6395}" name="Discount"/>
    <tableColumn id="9" xr3:uid="{5A62D2B9-F145-44C0-A46E-C01323A4DA87}" name="Tax"/>
    <tableColumn id="7" xr3:uid="{1E03B9F7-997F-4008-B25E-5D7A42EF79A5}" name="Line_Tot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90902F-1C56-4041-A529-00B10AA455BF}" name="TableInvoices" displayName="TableInvoices" ref="A1:K7" totalsRowShown="0">
  <autoFilter ref="A1:K7" xr:uid="{1090902F-1C56-4041-A529-00B10AA455BF}"/>
  <tableColumns count="11">
    <tableColumn id="1" xr3:uid="{66BEEDE8-2832-43DE-A7DD-DC234639D5E6}" name="Invoice_ID"/>
    <tableColumn id="2" xr3:uid="{593A1D0E-DCB5-4B28-8794-83987794E103}" name="Invoice_Date"/>
    <tableColumn id="11" xr3:uid="{AB3C6E56-C4C8-496C-9A39-461BD54DAEC7}" name="Account_Name"/>
    <tableColumn id="3" xr3:uid="{B9221F67-6321-46A8-ADEC-7379DF68DF23}" name="Account_ID"/>
    <tableColumn id="4" xr3:uid="{ED8FA829-3E85-4467-BA14-E00AE824FFBA}" name="Sub_Total"/>
    <tableColumn id="5" xr3:uid="{A912FCE5-B147-478A-BD85-FAC85FCBC86E}" name="Tax_Amount"/>
    <tableColumn id="6" xr3:uid="{769C5852-AF70-4D81-81CA-BE253265AC75}" name="Discount"/>
    <tableColumn id="7" xr3:uid="{7224FB93-65AE-4978-8767-6D21586623B2}" name="Grand_Total"/>
    <tableColumn id="10" xr3:uid="{4C4B313D-7C17-4AF0-9776-EC2E527655E2}" name="Payment_Method"/>
    <tableColumn id="8" xr3:uid="{391070D4-ABD8-4682-BFF1-62D136F19DA1}" name="Status (Paid/Unpaid)"/>
    <tableColumn id="9" xr3:uid="{0F887A0F-8E34-497C-B964-882976195EEF}" name="Due_Dat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FCBDCAE-99FC-4016-8EC5-4DCD86FAD2C3}" name="TableInvoiceDetails" displayName="TableInvoiceDetails" ref="A1:J13" totalsRowShown="0">
  <autoFilter ref="A1:J13" xr:uid="{7FCBDCAE-99FC-4016-8EC5-4DCD86FAD2C3}"/>
  <tableColumns count="10">
    <tableColumn id="2" xr3:uid="{8B0C5E8A-CACD-4048-ADA9-4F3BAA68FE18}" name="Invoice_ID"/>
    <tableColumn id="3" xr3:uid="{B4001F47-FE94-4082-BAB2-8A2516E572C5}" name="Service_ID">
      <calculatedColumnFormula>IF(TableInvoiceDetails[[#This Row],[Service_Name]]&gt;0,_xlfn.XLOOKUP(TableInvoiceDetails[[#This Row],[Service_Name]],TableServices[Service_Name],TableServices[Service_ID],"-",0,1),"")</calculatedColumnFormula>
    </tableColumn>
    <tableColumn id="8" xr3:uid="{A0D89286-01A9-4C4D-B624-F2D03E347E2D}" name="Service_Name"/>
    <tableColumn id="4" xr3:uid="{CAA713FA-B7BA-4A75-BA2D-6F36C73A1BF2}" name="Description"/>
    <tableColumn id="5" xr3:uid="{36D4D022-365B-420A-A860-B8221FDBE541}" name="Qty_Hours"/>
    <tableColumn id="11" xr3:uid="{586CA282-15CC-488C-A908-1F2D88A1A4C5}" name="Unit_Price"/>
    <tableColumn id="10" xr3:uid="{962A31A1-5ECA-4C06-B8E9-B55D4F3617CD}" name="Discount"/>
    <tableColumn id="9" xr3:uid="{21F53E46-4F75-4C7A-9372-FC7A62D3EA75}" name="Tax"/>
    <tableColumn id="7" xr3:uid="{788BD02D-31CE-43E9-9121-594515279AF2}" name="Line_Total"/>
    <tableColumn id="1" xr3:uid="{9C76683E-1E93-4727-9B1D-C866CE62FB17}" name="Sale_Category" dataDxfId="1">
      <calculatedColumnFormula>IFERROR(VLOOKUP(TableInvoiceDetails[[#This Row],[Service_ID]],TableServices[],6,0),"")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482346-5A77-4D84-ABD1-1ACA7460A1EB}" name="TableJournal" displayName="TableJournal" ref="A1:I2" totalsRowShown="0">
  <autoFilter ref="A1:I2" xr:uid="{AC482346-5A77-4D84-ABD1-1ACA7460A1EB}"/>
  <tableColumns count="9">
    <tableColumn id="1" xr3:uid="{5DC92526-EF8D-470D-85AE-4612F1140404}" name="Journal_ID">
      <calculatedColumnFormula>"JRN-"&amp;TEXT(ROW()-1,"00000")</calculatedColumnFormula>
    </tableColumn>
    <tableColumn id="2" xr3:uid="{75337143-D6D3-4C93-AFBF-104172406C98}" name="Journal_Date"/>
    <tableColumn id="3" xr3:uid="{1F56012B-B439-4A56-B68D-B86105150A29}" name="Reference"/>
    <tableColumn id="5" xr3:uid="{71825651-876B-4ED7-B67B-5745B76CA3A8}" name="Account_ID"/>
    <tableColumn id="6" xr3:uid="{ABF86E67-F35D-421C-8C19-949219C89CD1}" name="Account_Name"/>
    <tableColumn id="7" xr3:uid="{A31399AA-CC8F-4B2D-82A5-9969CD1D8354}" name="Description"/>
    <tableColumn id="8" xr3:uid="{79E82CBE-D769-4FDF-AE11-664042704F22}" name="Debit"/>
    <tableColumn id="9" xr3:uid="{4A863655-F69E-42C3-B4B7-B5D3924D8CE8}" name="Credit"/>
    <tableColumn id="4" xr3:uid="{D531C542-229F-4608-97A0-FC6EB40DEA30}" name="Source_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FEE8E4-3C38-4136-AD15-AF908541BFF3}" name="TablePayments" displayName="TablePayments" ref="A1:I2" totalsRowShown="0" headerRowDxfId="0">
  <autoFilter ref="A1:I2" xr:uid="{D2FEE8E4-3C38-4136-AD15-AF908541BFF3}"/>
  <tableColumns count="9">
    <tableColumn id="1" xr3:uid="{975D53F7-2178-4042-A051-4387C9E749CD}" name="Payment_ID"/>
    <tableColumn id="2" xr3:uid="{6CF461B4-D0A0-495E-9C0D-E6E83DCEF904}" name="Date"/>
    <tableColumn id="3" xr3:uid="{44A137A8-6496-41A4-A9D6-EB5EF17B1E90}" name="Account_ID"/>
    <tableColumn id="4" xr3:uid="{2EA41725-1A85-46EE-8A21-F1BB4E6CCF5C}" name="Account_Name"/>
    <tableColumn id="5" xr3:uid="{BBAE38B2-84EF-4912-BACD-2D1956DCBF68}" name="Payment_Type"/>
    <tableColumn id="6" xr3:uid="{C35EA1F7-AB5E-41C6-82A5-A2B5A88A9762}" name="Payment_Method"/>
    <tableColumn id="7" xr3:uid="{4A54448C-33CC-4F00-849D-551587B45A46}" name="Amount"/>
    <tableColumn id="8" xr3:uid="{03CCD0FA-D6B8-4111-9F1F-2EF8D2EC0CB1}" name="Reference"/>
    <tableColumn id="9" xr3:uid="{F4810819-E188-4465-AB1E-34F49D737D9D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3E3F4B8-DA63-4336-AF0F-281E32742BCD}" name="Table8" displayName="Table8" ref="G4:G7" totalsRowShown="0">
  <autoFilter ref="G4:G7" xr:uid="{63E3F4B8-DA63-4336-AF0F-281E32742BCD}"/>
  <tableColumns count="1">
    <tableColumn id="1" xr3:uid="{55DA2374-BA8B-4D16-91EF-C009E41C6F1F}" name="Payment Statu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53314E-24D3-4701-822A-2DD391BFE71E}" name="Table9" displayName="Table9" ref="D4:D7" totalsRowShown="0">
  <autoFilter ref="D4:D7" xr:uid="{4853314E-24D3-4701-822A-2DD391BFE71E}"/>
  <tableColumns count="1">
    <tableColumn id="1" xr3:uid="{C5F01AD0-6B0F-4312-B089-A19254FA6B26}" name="Payment Metho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88BA3-3415-429C-AC91-78E2391299D4}">
  <sheetPr codeName="Sheet1"/>
  <dimension ref="A1:K13"/>
  <sheetViews>
    <sheetView workbookViewId="0">
      <selection activeCell="B17" sqref="B17"/>
    </sheetView>
  </sheetViews>
  <sheetFormatPr defaultRowHeight="14.4" x14ac:dyDescent="0.3"/>
  <cols>
    <col min="1" max="1" width="14.44140625" customWidth="1"/>
    <col min="2" max="2" width="16.33203125" bestFit="1" customWidth="1"/>
    <col min="3" max="3" width="22.21875" customWidth="1"/>
    <col min="4" max="4" width="17.5546875" customWidth="1"/>
    <col min="5" max="5" width="11" customWidth="1"/>
    <col min="6" max="6" width="15.88671875" customWidth="1"/>
    <col min="7" max="7" width="13.6640625" customWidth="1"/>
    <col min="8" max="8" width="18.88671875" bestFit="1" customWidth="1"/>
    <col min="9" max="10" width="18" bestFit="1" customWidth="1"/>
    <col min="11" max="11" width="17.21875" bestFit="1" customWidth="1"/>
  </cols>
  <sheetData>
    <row r="1" spans="1:11" x14ac:dyDescent="0.3">
      <c r="A1" t="s">
        <v>21</v>
      </c>
      <c r="B1" t="s">
        <v>22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109</v>
      </c>
      <c r="I1" t="s">
        <v>110</v>
      </c>
      <c r="J1" t="s">
        <v>111</v>
      </c>
      <c r="K1" t="s">
        <v>112</v>
      </c>
    </row>
    <row r="2" spans="1:11" x14ac:dyDescent="0.3">
      <c r="A2" t="str">
        <f t="shared" ref="A2:A7" si="0">"ACC-" &amp; TEXT(ROW()-1,"0000")</f>
        <v>ACC-0001</v>
      </c>
      <c r="B2" t="s">
        <v>98</v>
      </c>
      <c r="D2">
        <v>3033670065</v>
      </c>
      <c r="E2" t="s">
        <v>105</v>
      </c>
      <c r="F2" t="s">
        <v>20</v>
      </c>
      <c r="H2" t="s">
        <v>125</v>
      </c>
      <c r="J2">
        <v>0</v>
      </c>
    </row>
    <row r="3" spans="1:11" x14ac:dyDescent="0.3">
      <c r="A3" t="str">
        <f t="shared" si="0"/>
        <v>ACC-0002</v>
      </c>
      <c r="B3" t="s">
        <v>99</v>
      </c>
      <c r="D3">
        <v>3067637707</v>
      </c>
      <c r="E3" t="s">
        <v>106</v>
      </c>
      <c r="F3" t="s">
        <v>20</v>
      </c>
      <c r="H3" t="s">
        <v>125</v>
      </c>
      <c r="J3">
        <v>0</v>
      </c>
    </row>
    <row r="4" spans="1:11" x14ac:dyDescent="0.3">
      <c r="A4" t="str">
        <f t="shared" si="0"/>
        <v>ACC-0003</v>
      </c>
      <c r="B4" t="s">
        <v>100</v>
      </c>
      <c r="D4">
        <v>3417167429</v>
      </c>
      <c r="E4" t="s">
        <v>107</v>
      </c>
      <c r="F4" t="s">
        <v>20</v>
      </c>
      <c r="H4" t="s">
        <v>126</v>
      </c>
      <c r="J4">
        <v>0</v>
      </c>
    </row>
    <row r="5" spans="1:11" x14ac:dyDescent="0.3">
      <c r="A5" t="str">
        <f t="shared" si="0"/>
        <v>ACC-0004</v>
      </c>
      <c r="B5" t="s">
        <v>101</v>
      </c>
      <c r="D5" t="s">
        <v>104</v>
      </c>
      <c r="E5" t="s">
        <v>104</v>
      </c>
      <c r="F5" t="s">
        <v>104</v>
      </c>
      <c r="H5" t="s">
        <v>126</v>
      </c>
      <c r="J5">
        <v>0</v>
      </c>
    </row>
    <row r="6" spans="1:11" x14ac:dyDescent="0.3">
      <c r="A6" t="str">
        <f t="shared" si="0"/>
        <v>ACC-0005</v>
      </c>
      <c r="B6" t="s">
        <v>102</v>
      </c>
      <c r="D6" t="s">
        <v>104</v>
      </c>
      <c r="E6" t="s">
        <v>104</v>
      </c>
      <c r="F6" t="s">
        <v>104</v>
      </c>
      <c r="H6" t="s">
        <v>127</v>
      </c>
      <c r="J6">
        <v>0</v>
      </c>
    </row>
    <row r="7" spans="1:11" x14ac:dyDescent="0.3">
      <c r="A7" t="str">
        <f t="shared" si="0"/>
        <v>ACC-0006</v>
      </c>
      <c r="B7" t="s">
        <v>103</v>
      </c>
      <c r="D7">
        <v>3358668660</v>
      </c>
      <c r="E7" t="s">
        <v>108</v>
      </c>
      <c r="F7" t="s">
        <v>20</v>
      </c>
      <c r="H7" t="s">
        <v>126</v>
      </c>
      <c r="J7">
        <v>0</v>
      </c>
    </row>
    <row r="8" spans="1:11" x14ac:dyDescent="0.3">
      <c r="A8" s="11" t="str">
        <f t="shared" ref="A8:A13" si="1">"ACC-" &amp; TEXT(ROW()-1,"0000")</f>
        <v>ACC-0007</v>
      </c>
      <c r="B8" t="s">
        <v>167</v>
      </c>
    </row>
    <row r="9" spans="1:11" x14ac:dyDescent="0.3">
      <c r="A9" s="11" t="str">
        <f t="shared" si="1"/>
        <v>ACC-0008</v>
      </c>
      <c r="B9" t="s">
        <v>209</v>
      </c>
    </row>
    <row r="10" spans="1:11" x14ac:dyDescent="0.3">
      <c r="A10" s="11" t="str">
        <f t="shared" si="1"/>
        <v>ACC-0009</v>
      </c>
      <c r="B10" t="s">
        <v>210</v>
      </c>
    </row>
    <row r="11" spans="1:11" x14ac:dyDescent="0.3">
      <c r="A11" s="11" t="str">
        <f t="shared" si="1"/>
        <v>ACC-0010</v>
      </c>
      <c r="B11" t="s">
        <v>211</v>
      </c>
    </row>
    <row r="12" spans="1:11" x14ac:dyDescent="0.3">
      <c r="A12" s="11" t="str">
        <f t="shared" si="1"/>
        <v>ACC-0011</v>
      </c>
      <c r="B12" t="s">
        <v>213</v>
      </c>
    </row>
    <row r="13" spans="1:11" x14ac:dyDescent="0.3">
      <c r="A13" s="11" t="str">
        <f t="shared" si="1"/>
        <v>ACC-0012</v>
      </c>
      <c r="B13" t="s">
        <v>212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D841-DC69-4651-9663-FE84D461D36D}">
  <sheetPr codeName="Sheet2"/>
  <dimension ref="A1:J34"/>
  <sheetViews>
    <sheetView workbookViewId="0">
      <selection activeCell="A2" sqref="A2:F2"/>
    </sheetView>
  </sheetViews>
  <sheetFormatPr defaultRowHeight="14.4" x14ac:dyDescent="0.3"/>
  <cols>
    <col min="1" max="1" width="12" bestFit="1" customWidth="1"/>
    <col min="2" max="2" width="26.109375" bestFit="1" customWidth="1"/>
    <col min="3" max="3" width="30.88671875" bestFit="1" customWidth="1"/>
    <col min="4" max="4" width="39.21875" customWidth="1"/>
    <col min="5" max="5" width="12" customWidth="1"/>
    <col min="6" max="6" width="16.6640625" customWidth="1"/>
    <col min="7" max="7" width="16" bestFit="1" customWidth="1"/>
  </cols>
  <sheetData>
    <row r="1" spans="1:10" x14ac:dyDescent="0.3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113</v>
      </c>
      <c r="G1" t="s">
        <v>114</v>
      </c>
    </row>
    <row r="2" spans="1:10" x14ac:dyDescent="0.3">
      <c r="A2" t="str">
        <f t="shared" ref="A2:A34" si="0">"SRV-" &amp; TEXT(ROW()-1,"0000")</f>
        <v>SRV-0001</v>
      </c>
      <c r="B2" t="s">
        <v>23</v>
      </c>
      <c r="C2" t="s">
        <v>56</v>
      </c>
      <c r="D2" t="s">
        <v>97</v>
      </c>
      <c r="E2">
        <v>4</v>
      </c>
      <c r="F2" t="s">
        <v>88</v>
      </c>
    </row>
    <row r="3" spans="1:10" x14ac:dyDescent="0.3">
      <c r="A3" t="str">
        <f t="shared" si="0"/>
        <v>SRV-0002</v>
      </c>
      <c r="B3" t="s">
        <v>24</v>
      </c>
      <c r="C3" t="s">
        <v>57</v>
      </c>
      <c r="D3" t="s">
        <v>97</v>
      </c>
      <c r="E3">
        <v>10</v>
      </c>
      <c r="F3" t="s">
        <v>88</v>
      </c>
    </row>
    <row r="4" spans="1:10" x14ac:dyDescent="0.3">
      <c r="A4" t="str">
        <f t="shared" si="0"/>
        <v>SRV-0003</v>
      </c>
      <c r="B4" t="s">
        <v>25</v>
      </c>
      <c r="C4" t="s">
        <v>58</v>
      </c>
      <c r="D4" t="s">
        <v>97</v>
      </c>
      <c r="E4">
        <v>4</v>
      </c>
      <c r="F4" t="s">
        <v>88</v>
      </c>
      <c r="J4" t="str" cm="1">
        <f t="array" ref="J4:J11">_xlfn.UNIQUE(TableServices[Service_Category],FALSE,FALSE)</f>
        <v>Photocopy</v>
      </c>
    </row>
    <row r="5" spans="1:10" x14ac:dyDescent="0.3">
      <c r="A5" t="str">
        <f t="shared" si="0"/>
        <v>SRV-0004</v>
      </c>
      <c r="B5" t="s">
        <v>26</v>
      </c>
      <c r="C5" t="s">
        <v>59</v>
      </c>
      <c r="D5" t="s">
        <v>97</v>
      </c>
      <c r="E5">
        <v>30</v>
      </c>
      <c r="F5" t="s">
        <v>88</v>
      </c>
      <c r="J5" t="str">
        <v>NADRA</v>
      </c>
    </row>
    <row r="6" spans="1:10" x14ac:dyDescent="0.3">
      <c r="A6" t="str">
        <f t="shared" si="0"/>
        <v>SRV-0005</v>
      </c>
      <c r="B6" t="s">
        <v>27</v>
      </c>
      <c r="C6" t="s">
        <v>60</v>
      </c>
      <c r="D6" t="s">
        <v>97</v>
      </c>
      <c r="E6">
        <v>1200</v>
      </c>
      <c r="F6" t="s">
        <v>89</v>
      </c>
      <c r="J6" t="str">
        <v>Word/Excel</v>
      </c>
    </row>
    <row r="7" spans="1:10" x14ac:dyDescent="0.3">
      <c r="A7" t="str">
        <f t="shared" si="0"/>
        <v>SRV-0006</v>
      </c>
      <c r="B7" t="s">
        <v>28</v>
      </c>
      <c r="C7" t="s">
        <v>61</v>
      </c>
      <c r="D7" t="s">
        <v>97</v>
      </c>
      <c r="E7">
        <v>2000</v>
      </c>
      <c r="F7" t="s">
        <v>89</v>
      </c>
      <c r="J7" t="str">
        <v>Union Concil</v>
      </c>
    </row>
    <row r="8" spans="1:10" x14ac:dyDescent="0.3">
      <c r="A8" t="str">
        <f t="shared" si="0"/>
        <v>SRV-0007</v>
      </c>
      <c r="B8" t="s">
        <v>29</v>
      </c>
      <c r="C8" t="s">
        <v>62</v>
      </c>
      <c r="D8" t="s">
        <v>97</v>
      </c>
      <c r="E8">
        <v>3000</v>
      </c>
      <c r="F8" t="s">
        <v>89</v>
      </c>
      <c r="J8" t="str">
        <v>Misc.</v>
      </c>
    </row>
    <row r="9" spans="1:10" x14ac:dyDescent="0.3">
      <c r="A9" t="str">
        <f t="shared" si="0"/>
        <v>SRV-0008</v>
      </c>
      <c r="B9" t="s">
        <v>30</v>
      </c>
      <c r="C9" t="s">
        <v>63</v>
      </c>
      <c r="D9" t="s">
        <v>97</v>
      </c>
      <c r="E9">
        <v>200</v>
      </c>
      <c r="F9" t="s">
        <v>89</v>
      </c>
      <c r="J9" t="str">
        <v>Excise &amp; Taxation</v>
      </c>
    </row>
    <row r="10" spans="1:10" x14ac:dyDescent="0.3">
      <c r="A10" t="str">
        <f t="shared" si="0"/>
        <v>SRV-0009</v>
      </c>
      <c r="B10" t="s">
        <v>31</v>
      </c>
      <c r="C10" t="s">
        <v>64</v>
      </c>
      <c r="D10" t="s">
        <v>97</v>
      </c>
      <c r="E10">
        <v>700</v>
      </c>
      <c r="F10" t="s">
        <v>89</v>
      </c>
      <c r="J10" t="str">
        <v>Online Payments</v>
      </c>
    </row>
    <row r="11" spans="1:10" x14ac:dyDescent="0.3">
      <c r="A11" t="str">
        <f t="shared" si="0"/>
        <v>SRV-0010</v>
      </c>
      <c r="B11" t="s">
        <v>32</v>
      </c>
      <c r="C11" t="s">
        <v>96</v>
      </c>
      <c r="D11" t="s">
        <v>97</v>
      </c>
      <c r="E11">
        <v>3000</v>
      </c>
      <c r="F11" t="s">
        <v>89</v>
      </c>
      <c r="J11" t="str">
        <v>Tickets</v>
      </c>
    </row>
    <row r="12" spans="1:10" x14ac:dyDescent="0.3">
      <c r="A12" t="str">
        <f t="shared" si="0"/>
        <v>SRV-0011</v>
      </c>
      <c r="B12" t="s">
        <v>33</v>
      </c>
      <c r="C12" t="s">
        <v>65</v>
      </c>
      <c r="D12" t="s">
        <v>97</v>
      </c>
      <c r="E12">
        <v>100</v>
      </c>
      <c r="F12" t="s">
        <v>89</v>
      </c>
    </row>
    <row r="13" spans="1:10" x14ac:dyDescent="0.3">
      <c r="A13" t="str">
        <f t="shared" si="0"/>
        <v>SRV-0012</v>
      </c>
      <c r="B13" t="s">
        <v>34</v>
      </c>
      <c r="C13" t="s">
        <v>66</v>
      </c>
      <c r="D13" t="s">
        <v>97</v>
      </c>
      <c r="E13">
        <v>200</v>
      </c>
      <c r="F13" t="s">
        <v>90</v>
      </c>
    </row>
    <row r="14" spans="1:10" x14ac:dyDescent="0.3">
      <c r="A14" t="str">
        <f t="shared" si="0"/>
        <v>SRV-0013</v>
      </c>
      <c r="B14" t="s">
        <v>35</v>
      </c>
      <c r="C14" t="s">
        <v>67</v>
      </c>
      <c r="D14" t="s">
        <v>97</v>
      </c>
      <c r="E14">
        <v>900</v>
      </c>
      <c r="F14" t="s">
        <v>91</v>
      </c>
    </row>
    <row r="15" spans="1:10" x14ac:dyDescent="0.3">
      <c r="A15" t="str">
        <f t="shared" si="0"/>
        <v>SRV-0014</v>
      </c>
      <c r="B15" t="s">
        <v>36</v>
      </c>
      <c r="C15" t="s">
        <v>68</v>
      </c>
      <c r="D15" t="s">
        <v>97</v>
      </c>
      <c r="E15">
        <v>1500</v>
      </c>
      <c r="F15" t="s">
        <v>91</v>
      </c>
    </row>
    <row r="16" spans="1:10" x14ac:dyDescent="0.3">
      <c r="A16" t="str">
        <f t="shared" si="0"/>
        <v>SRV-0015</v>
      </c>
      <c r="B16" t="s">
        <v>37</v>
      </c>
      <c r="C16" t="s">
        <v>69</v>
      </c>
      <c r="D16" t="s">
        <v>97</v>
      </c>
      <c r="E16">
        <v>2000</v>
      </c>
      <c r="F16" t="s">
        <v>91</v>
      </c>
    </row>
    <row r="17" spans="1:6" x14ac:dyDescent="0.3">
      <c r="A17" t="str">
        <f t="shared" si="0"/>
        <v>SRV-0016</v>
      </c>
      <c r="B17" t="s">
        <v>38</v>
      </c>
      <c r="C17" t="s">
        <v>70</v>
      </c>
      <c r="D17" t="s">
        <v>97</v>
      </c>
      <c r="E17">
        <v>3000</v>
      </c>
      <c r="F17" t="s">
        <v>91</v>
      </c>
    </row>
    <row r="18" spans="1:6" x14ac:dyDescent="0.3">
      <c r="A18" t="str">
        <f t="shared" si="0"/>
        <v>SRV-0017</v>
      </c>
      <c r="B18" t="s">
        <v>39</v>
      </c>
      <c r="C18" t="s">
        <v>71</v>
      </c>
      <c r="D18" t="s">
        <v>97</v>
      </c>
      <c r="E18">
        <v>4000</v>
      </c>
      <c r="F18" t="s">
        <v>91</v>
      </c>
    </row>
    <row r="19" spans="1:6" x14ac:dyDescent="0.3">
      <c r="A19" t="str">
        <f t="shared" si="0"/>
        <v>SRV-0018</v>
      </c>
      <c r="B19" t="s">
        <v>40</v>
      </c>
      <c r="C19" t="s">
        <v>72</v>
      </c>
      <c r="D19" t="s">
        <v>97</v>
      </c>
      <c r="E19">
        <v>3000</v>
      </c>
      <c r="F19" t="s">
        <v>91</v>
      </c>
    </row>
    <row r="20" spans="1:6" x14ac:dyDescent="0.3">
      <c r="A20" t="str">
        <f t="shared" si="0"/>
        <v>SRV-0019</v>
      </c>
      <c r="B20" t="s">
        <v>41</v>
      </c>
      <c r="C20" t="s">
        <v>73</v>
      </c>
      <c r="D20" t="s">
        <v>97</v>
      </c>
      <c r="E20">
        <v>8000</v>
      </c>
      <c r="F20" t="s">
        <v>91</v>
      </c>
    </row>
    <row r="21" spans="1:6" x14ac:dyDescent="0.3">
      <c r="A21" t="str">
        <f t="shared" si="0"/>
        <v>SRV-0020</v>
      </c>
      <c r="B21" t="s">
        <v>42</v>
      </c>
      <c r="C21" t="s">
        <v>74</v>
      </c>
      <c r="D21" t="s">
        <v>97</v>
      </c>
      <c r="E21">
        <v>4000</v>
      </c>
      <c r="F21" t="s">
        <v>91</v>
      </c>
    </row>
    <row r="22" spans="1:6" x14ac:dyDescent="0.3">
      <c r="A22" t="str">
        <f t="shared" si="0"/>
        <v>SRV-0021</v>
      </c>
      <c r="B22" t="s">
        <v>43</v>
      </c>
      <c r="C22" t="s">
        <v>75</v>
      </c>
      <c r="D22" t="s">
        <v>97</v>
      </c>
      <c r="E22">
        <v>100</v>
      </c>
      <c r="F22" t="s">
        <v>92</v>
      </c>
    </row>
    <row r="23" spans="1:6" x14ac:dyDescent="0.3">
      <c r="A23" t="str">
        <f t="shared" si="0"/>
        <v>SRV-0022</v>
      </c>
      <c r="B23" t="s">
        <v>44</v>
      </c>
      <c r="C23" t="s">
        <v>76</v>
      </c>
      <c r="D23" t="s">
        <v>97</v>
      </c>
      <c r="E23">
        <v>200</v>
      </c>
      <c r="F23" t="s">
        <v>92</v>
      </c>
    </row>
    <row r="24" spans="1:6" x14ac:dyDescent="0.3">
      <c r="A24" t="str">
        <f t="shared" si="0"/>
        <v>SRV-0023</v>
      </c>
      <c r="B24" t="s">
        <v>45</v>
      </c>
      <c r="C24" t="s">
        <v>77</v>
      </c>
      <c r="D24" t="s">
        <v>97</v>
      </c>
      <c r="E24">
        <v>300</v>
      </c>
      <c r="F24" t="s">
        <v>92</v>
      </c>
    </row>
    <row r="25" spans="1:6" x14ac:dyDescent="0.3">
      <c r="A25" t="str">
        <f t="shared" si="0"/>
        <v>SRV-0024</v>
      </c>
      <c r="B25" t="s">
        <v>46</v>
      </c>
      <c r="C25" t="s">
        <v>78</v>
      </c>
      <c r="D25" t="s">
        <v>97</v>
      </c>
      <c r="E25">
        <v>500</v>
      </c>
      <c r="F25" t="s">
        <v>92</v>
      </c>
    </row>
    <row r="26" spans="1:6" x14ac:dyDescent="0.3">
      <c r="A26" t="str">
        <f t="shared" si="0"/>
        <v>SRV-0025</v>
      </c>
      <c r="B26" t="s">
        <v>47</v>
      </c>
      <c r="C26" t="s">
        <v>79</v>
      </c>
      <c r="D26" t="s">
        <v>97</v>
      </c>
      <c r="E26">
        <v>1000</v>
      </c>
      <c r="F26" t="s">
        <v>92</v>
      </c>
    </row>
    <row r="27" spans="1:6" x14ac:dyDescent="0.3">
      <c r="A27" t="str">
        <f t="shared" si="0"/>
        <v>SRV-0026</v>
      </c>
      <c r="B27" t="s">
        <v>48</v>
      </c>
      <c r="C27" t="s">
        <v>80</v>
      </c>
      <c r="D27" t="s">
        <v>97</v>
      </c>
      <c r="E27">
        <v>50</v>
      </c>
      <c r="F27" t="s">
        <v>92</v>
      </c>
    </row>
    <row r="28" spans="1:6" x14ac:dyDescent="0.3">
      <c r="A28" t="str">
        <f t="shared" si="0"/>
        <v>SRV-0027</v>
      </c>
      <c r="B28" t="s">
        <v>49</v>
      </c>
      <c r="C28" t="s">
        <v>81</v>
      </c>
      <c r="D28" t="s">
        <v>97</v>
      </c>
      <c r="E28">
        <v>500</v>
      </c>
      <c r="F28" t="s">
        <v>92</v>
      </c>
    </row>
    <row r="29" spans="1:6" x14ac:dyDescent="0.3">
      <c r="A29" t="str">
        <f t="shared" si="0"/>
        <v>SRV-0028</v>
      </c>
      <c r="B29" t="s">
        <v>50</v>
      </c>
      <c r="C29" t="s">
        <v>82</v>
      </c>
      <c r="D29" t="s">
        <v>97</v>
      </c>
      <c r="E29">
        <v>1500</v>
      </c>
      <c r="F29" t="s">
        <v>93</v>
      </c>
    </row>
    <row r="30" spans="1:6" x14ac:dyDescent="0.3">
      <c r="A30" t="str">
        <f t="shared" si="0"/>
        <v>SRV-0029</v>
      </c>
      <c r="B30" t="s">
        <v>51</v>
      </c>
      <c r="C30" t="s">
        <v>83</v>
      </c>
      <c r="D30" t="s">
        <v>97</v>
      </c>
      <c r="E30">
        <v>150</v>
      </c>
      <c r="F30" t="s">
        <v>89</v>
      </c>
    </row>
    <row r="31" spans="1:6" x14ac:dyDescent="0.3">
      <c r="A31" t="str">
        <f t="shared" si="0"/>
        <v>SRV-0030</v>
      </c>
      <c r="B31" t="s">
        <v>52</v>
      </c>
      <c r="C31" t="s">
        <v>84</v>
      </c>
      <c r="D31" t="s">
        <v>97</v>
      </c>
      <c r="E31">
        <v>700</v>
      </c>
      <c r="F31" t="s">
        <v>93</v>
      </c>
    </row>
    <row r="32" spans="1:6" x14ac:dyDescent="0.3">
      <c r="A32" t="str">
        <f t="shared" si="0"/>
        <v>SRV-0031</v>
      </c>
      <c r="B32" t="s">
        <v>53</v>
      </c>
      <c r="C32" t="s">
        <v>85</v>
      </c>
      <c r="D32" t="s">
        <v>97</v>
      </c>
      <c r="E32">
        <v>1</v>
      </c>
      <c r="F32" t="s">
        <v>94</v>
      </c>
    </row>
    <row r="33" spans="1:6" x14ac:dyDescent="0.3">
      <c r="A33" t="str">
        <f t="shared" si="0"/>
        <v>SRV-0032</v>
      </c>
      <c r="B33" t="s">
        <v>54</v>
      </c>
      <c r="C33" t="s">
        <v>86</v>
      </c>
      <c r="D33" t="s">
        <v>97</v>
      </c>
      <c r="E33">
        <v>1</v>
      </c>
      <c r="F33" t="s">
        <v>94</v>
      </c>
    </row>
    <row r="34" spans="1:6" x14ac:dyDescent="0.3">
      <c r="A34" t="str">
        <f t="shared" si="0"/>
        <v>SRV-0033</v>
      </c>
      <c r="B34" t="s">
        <v>55</v>
      </c>
      <c r="C34" t="s">
        <v>87</v>
      </c>
      <c r="D34" t="s">
        <v>97</v>
      </c>
      <c r="E34">
        <v>1</v>
      </c>
      <c r="F34" t="s">
        <v>95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5D2B4-9270-488D-80BA-501DDDB4CAF0}">
  <sheetPr codeName="Sheet12">
    <tabColor rgb="FFFF0000"/>
  </sheetPr>
  <dimension ref="A1:BJ153"/>
  <sheetViews>
    <sheetView zoomScale="119" zoomScaleNormal="120" workbookViewId="0">
      <selection activeCell="I17" sqref="I17"/>
    </sheetView>
  </sheetViews>
  <sheetFormatPr defaultRowHeight="14.4" x14ac:dyDescent="0.3"/>
  <cols>
    <col min="1" max="1" width="18.6640625" customWidth="1"/>
    <col min="2" max="2" width="18.44140625" customWidth="1"/>
    <col min="3" max="6" width="7.33203125" customWidth="1"/>
    <col min="7" max="7" width="14" customWidth="1"/>
    <col min="8" max="8" width="4.33203125" customWidth="1"/>
    <col min="9" max="9" width="14.5546875" customWidth="1"/>
    <col min="10" max="10" width="16.109375" style="27" bestFit="1" customWidth="1"/>
    <col min="11" max="11" width="25.33203125" style="30" customWidth="1"/>
    <col min="12" max="12" width="9.109375" bestFit="1" customWidth="1"/>
    <col min="13" max="13" width="8" bestFit="1" customWidth="1"/>
    <col min="14" max="14" width="3.33203125" bestFit="1" customWidth="1"/>
    <col min="15" max="15" width="7" bestFit="1" customWidth="1"/>
    <col min="16" max="16" width="9.5546875" bestFit="1" customWidth="1"/>
    <col min="17" max="17" width="11.88671875" bestFit="1" customWidth="1"/>
    <col min="18" max="18" width="5.21875" bestFit="1" customWidth="1"/>
    <col min="19" max="19" width="7.77734375" bestFit="1" customWidth="1"/>
    <col min="20" max="20" width="10.5546875" bestFit="1" customWidth="1"/>
    <col min="21" max="21" width="6.109375" bestFit="1" customWidth="1"/>
    <col min="22" max="22" width="2" bestFit="1" customWidth="1"/>
  </cols>
  <sheetData>
    <row r="1" spans="1:62" ht="17.399999999999999" x14ac:dyDescent="0.3">
      <c r="A1" s="69" t="s">
        <v>139</v>
      </c>
      <c r="B1" s="70"/>
      <c r="C1" s="71"/>
      <c r="D1" s="71"/>
      <c r="E1" s="71"/>
      <c r="F1" s="71"/>
      <c r="G1" s="72"/>
    </row>
    <row r="2" spans="1:62" ht="15.6" x14ac:dyDescent="0.3">
      <c r="A2" s="73" t="s">
        <v>145</v>
      </c>
      <c r="B2" s="74"/>
      <c r="C2" s="75"/>
      <c r="D2" s="75"/>
      <c r="E2" s="75"/>
      <c r="F2" s="75"/>
      <c r="G2" s="76"/>
      <c r="J2" s="43" t="s">
        <v>189</v>
      </c>
      <c r="K2" s="44" t="str">
        <f>"PI-" &amp; TEXT(COUNTA(TablePurchases[Purchase_ID]) + 1, "0000")</f>
        <v>PI-0005</v>
      </c>
    </row>
    <row r="3" spans="1:62" ht="15.6" x14ac:dyDescent="0.3">
      <c r="A3" s="77" t="s">
        <v>140</v>
      </c>
      <c r="B3" s="78"/>
      <c r="C3" s="78"/>
      <c r="D3" s="78"/>
      <c r="E3" s="78"/>
      <c r="F3" s="78"/>
      <c r="G3" s="79"/>
      <c r="J3" s="40" t="s">
        <v>194</v>
      </c>
      <c r="K3" s="49"/>
      <c r="L3" t="s">
        <v>164</v>
      </c>
      <c r="M3" t="s">
        <v>164</v>
      </c>
      <c r="N3" t="s">
        <v>164</v>
      </c>
      <c r="O3" t="s">
        <v>164</v>
      </c>
      <c r="P3" t="s">
        <v>164</v>
      </c>
      <c r="Q3" t="s">
        <v>164</v>
      </c>
      <c r="R3" t="s">
        <v>164</v>
      </c>
      <c r="S3" t="s">
        <v>164</v>
      </c>
      <c r="T3" t="s">
        <v>164</v>
      </c>
      <c r="U3" t="s">
        <v>164</v>
      </c>
      <c r="V3" t="s">
        <v>164</v>
      </c>
      <c r="W3" t="s">
        <v>164</v>
      </c>
      <c r="X3" t="s">
        <v>164</v>
      </c>
      <c r="Y3" t="s">
        <v>164</v>
      </c>
      <c r="Z3" t="s">
        <v>164</v>
      </c>
      <c r="AD3" t="str" cm="1">
        <f t="array" ref="AD3:AO3">TRANSPOSE(_xlfn._xlws.SORT(_xlfn.UNIQUE(_xlfn._xlws.FILTER(TableAccounts[Account_Name],ISNUMBER(SEARCH($K$3,TableAccounts[Account_Name])),"Not Found"))))</f>
        <v>ABRAR C2</v>
      </c>
      <c r="AE3" t="str">
        <v>ANSAR C2</v>
      </c>
      <c r="AF3" t="str">
        <v>Bank</v>
      </c>
      <c r="AG3" t="str">
        <v>Cash</v>
      </c>
      <c r="AH3" t="str">
        <v>EXPENSES</v>
      </c>
      <c r="AI3" t="str">
        <v>GPS CHAK 54P</v>
      </c>
      <c r="AJ3" t="str">
        <v>Input Tax</v>
      </c>
      <c r="AK3" t="str">
        <v>MEHNAZ T</v>
      </c>
      <c r="AL3" t="str">
        <v>OTHERS</v>
      </c>
      <c r="AM3" t="str">
        <v>Purchase</v>
      </c>
      <c r="AN3" t="str">
        <v>Sales Revenue</v>
      </c>
      <c r="AO3" t="str">
        <v>Sales Tax Payable</v>
      </c>
    </row>
    <row r="4" spans="1:62" ht="14.4" customHeight="1" x14ac:dyDescent="0.3">
      <c r="A4" s="80"/>
      <c r="B4" s="81"/>
      <c r="C4" s="82"/>
      <c r="D4" s="82"/>
      <c r="E4" s="82"/>
      <c r="F4" s="82"/>
      <c r="G4" s="83"/>
      <c r="J4" s="40" t="s">
        <v>134</v>
      </c>
      <c r="K4" s="45" t="str">
        <f>IFERROR(VLOOKUP(K3,TableAccounts[[Account_Name]:[Current_Balance]],4,0),"-")</f>
        <v>-</v>
      </c>
      <c r="Z4" t="s">
        <v>164</v>
      </c>
    </row>
    <row r="5" spans="1:62" ht="14.4" customHeight="1" x14ac:dyDescent="0.3">
      <c r="A5" s="84" t="s">
        <v>193</v>
      </c>
      <c r="B5" s="85"/>
      <c r="C5" s="86"/>
      <c r="D5" s="86"/>
      <c r="E5" s="86"/>
      <c r="F5" s="86"/>
      <c r="G5" s="87"/>
      <c r="J5" s="40" t="s">
        <v>195</v>
      </c>
      <c r="K5" s="49">
        <v>1003</v>
      </c>
      <c r="Z5" t="s">
        <v>164</v>
      </c>
    </row>
    <row r="6" spans="1:62" ht="14.4" customHeight="1" x14ac:dyDescent="0.3">
      <c r="A6" s="12" t="s">
        <v>141</v>
      </c>
      <c r="B6" s="37" t="s">
        <v>201</v>
      </c>
      <c r="C6" s="13"/>
      <c r="E6" s="14"/>
      <c r="F6" s="38" t="s">
        <v>192</v>
      </c>
      <c r="G6" s="24">
        <v>46251</v>
      </c>
      <c r="J6" s="40" t="s">
        <v>148</v>
      </c>
      <c r="K6" s="45" t="str">
        <f>IFERROR(VLOOKUP(K3,TableAccounts[[Account_Name]:[Current_Balance]],10,0),"-")</f>
        <v>-</v>
      </c>
      <c r="Z6" t="s">
        <v>164</v>
      </c>
    </row>
    <row r="7" spans="1:62" x14ac:dyDescent="0.3">
      <c r="A7" s="12" t="s">
        <v>194</v>
      </c>
      <c r="B7" s="88" t="s">
        <v>100</v>
      </c>
      <c r="C7" s="88"/>
      <c r="D7" s="88"/>
      <c r="E7" s="60"/>
      <c r="F7" s="61" t="s">
        <v>195</v>
      </c>
      <c r="G7" s="65">
        <f>K5</f>
        <v>1003</v>
      </c>
      <c r="J7" s="40" t="s">
        <v>196</v>
      </c>
      <c r="K7" s="46" t="s">
        <v>126</v>
      </c>
      <c r="Z7" t="s">
        <v>164</v>
      </c>
    </row>
    <row r="8" spans="1:62" x14ac:dyDescent="0.3">
      <c r="A8" s="12" t="s">
        <v>134</v>
      </c>
      <c r="B8" s="68" t="str">
        <f>K4</f>
        <v>-</v>
      </c>
      <c r="C8" s="68"/>
      <c r="D8" s="68"/>
      <c r="E8" s="62"/>
      <c r="F8" s="63" t="s">
        <v>196</v>
      </c>
      <c r="G8" s="64" t="str">
        <f>K7</f>
        <v>Customer</v>
      </c>
      <c r="J8" s="40"/>
      <c r="K8" s="41"/>
      <c r="Z8" t="s">
        <v>164</v>
      </c>
    </row>
    <row r="9" spans="1:62" x14ac:dyDescent="0.3">
      <c r="A9" s="17" t="s">
        <v>142</v>
      </c>
      <c r="B9" s="25" t="s">
        <v>7</v>
      </c>
      <c r="C9" s="18" t="s">
        <v>135</v>
      </c>
      <c r="D9" s="18" t="s">
        <v>18</v>
      </c>
      <c r="E9" s="18" t="s">
        <v>144</v>
      </c>
      <c r="F9" s="18" t="s">
        <v>132</v>
      </c>
      <c r="G9" s="19" t="s">
        <v>136</v>
      </c>
      <c r="J9" s="40" t="s">
        <v>152</v>
      </c>
      <c r="K9" s="49"/>
      <c r="L9" t="s">
        <v>164</v>
      </c>
      <c r="M9" t="s">
        <v>164</v>
      </c>
      <c r="N9" t="s">
        <v>164</v>
      </c>
      <c r="O9" t="s">
        <v>164</v>
      </c>
      <c r="P9" t="s">
        <v>164</v>
      </c>
      <c r="Q9" t="s">
        <v>164</v>
      </c>
      <c r="R9" t="s">
        <v>164</v>
      </c>
      <c r="S9" t="s">
        <v>164</v>
      </c>
      <c r="T9" t="s">
        <v>164</v>
      </c>
      <c r="U9" t="s">
        <v>164</v>
      </c>
      <c r="V9" t="s">
        <v>164</v>
      </c>
      <c r="Z9" t="s">
        <v>164</v>
      </c>
      <c r="AD9" t="str" cm="1">
        <f t="array" ref="AD9:BJ9">TRANSPOSE(_xlfn._xlws.SORT(_xlfn.UNIQUE(_xlfn._xlws.FILTER(TableServices[Service_Name],ISNUMBER(SEARCH($K$9,TableServices[Service_Name])),"Not Found"))))</f>
        <v>B Form Normal</v>
      </c>
      <c r="AE9" t="str">
        <v>B Form Urgent</v>
      </c>
      <c r="AF9" t="str">
        <v>Biomatric Verification</v>
      </c>
      <c r="AG9" t="str">
        <v>Birth Certificate 01-10</v>
      </c>
      <c r="AH9" t="str">
        <v>Birth Certificate 10-15</v>
      </c>
      <c r="AI9" t="str">
        <v>Birth Certificate 15-18</v>
      </c>
      <c r="AJ9" t="str">
        <v>Birth Certificate 18-30</v>
      </c>
      <c r="AK9" t="str">
        <v>CNIC Cancilation</v>
      </c>
      <c r="AL9" t="str">
        <v>CNIC Exective</v>
      </c>
      <c r="AM9" t="str">
        <v>CNIC Montly</v>
      </c>
      <c r="AN9" t="str">
        <v>CNIC Urgent</v>
      </c>
      <c r="AO9" t="str">
        <v>Death Certificate</v>
      </c>
      <c r="AP9" t="str">
        <v>Divorce Certificate</v>
      </c>
      <c r="AQ9" t="str">
        <v>Document Compoisition</v>
      </c>
      <c r="AR9" t="str">
        <v>Easypesa</v>
      </c>
      <c r="AS9" t="str">
        <v>FRC</v>
      </c>
      <c r="AT9" t="str">
        <v>Inspection fee</v>
      </c>
      <c r="AU9" t="str">
        <v>Jazz Cash</v>
      </c>
      <c r="AV9" t="str">
        <v>Marriage Certificate Mus.</v>
      </c>
      <c r="AW9" t="str">
        <v>Marriage Certificate Non Mus.</v>
      </c>
      <c r="AX9" t="str">
        <v>Misc. Expenses</v>
      </c>
      <c r="AY9" t="str">
        <v>Photostate BW</v>
      </c>
      <c r="AZ9" t="str">
        <v>Photostate Color</v>
      </c>
      <c r="BA9" t="str">
        <v>Print BW</v>
      </c>
      <c r="BB9" t="str">
        <v>Print Color</v>
      </c>
      <c r="BC9" t="str">
        <v>Service PKR 100</v>
      </c>
      <c r="BD9" t="str">
        <v>Service PKR 1000</v>
      </c>
      <c r="BE9" t="str">
        <v>Service PKR 200</v>
      </c>
      <c r="BF9" t="str">
        <v>Service PKR 300</v>
      </c>
      <c r="BG9" t="str">
        <v>Service PKR 50</v>
      </c>
      <c r="BH9" t="str">
        <v>Service PKR 500</v>
      </c>
      <c r="BI9" t="str">
        <v>Train Tickets</v>
      </c>
      <c r="BJ9" t="str">
        <v>Transfer Motor Vehile</v>
      </c>
    </row>
    <row r="10" spans="1:62" x14ac:dyDescent="0.3">
      <c r="A10" s="34" t="s">
        <v>31</v>
      </c>
      <c r="B10" s="29" t="s">
        <v>64</v>
      </c>
      <c r="C10" s="35">
        <v>1</v>
      </c>
      <c r="D10" s="35">
        <v>700</v>
      </c>
      <c r="E10" s="35">
        <v>300</v>
      </c>
      <c r="F10" s="35"/>
      <c r="G10" s="36">
        <f>IF(C10&gt;0,C10*D10-E10+F10,"")</f>
        <v>400</v>
      </c>
      <c r="J10" s="40" t="s">
        <v>166</v>
      </c>
      <c r="K10" s="47" t="str">
        <f>IF(Purchase_Entry!K9&gt;0,VLOOKUP($K$9,TableServices[[Service_Name]:[Tax_Applicable]],2,0),"-")</f>
        <v>-</v>
      </c>
      <c r="V10" t="s">
        <v>164</v>
      </c>
      <c r="Z10" t="s">
        <v>164</v>
      </c>
    </row>
    <row r="11" spans="1:62" x14ac:dyDescent="0.3">
      <c r="A11" s="34" t="s">
        <v>30</v>
      </c>
      <c r="B11" s="29" t="s">
        <v>63</v>
      </c>
      <c r="C11" s="35">
        <v>1</v>
      </c>
      <c r="D11" s="35">
        <v>100</v>
      </c>
      <c r="E11" s="35"/>
      <c r="F11" s="35"/>
      <c r="G11" s="36">
        <f t="shared" ref="G11:G14" si="0">IF(C11&gt;0,C11*D11-E11+F11,"")</f>
        <v>100</v>
      </c>
      <c r="J11" s="40" t="s">
        <v>153</v>
      </c>
      <c r="K11" s="49"/>
      <c r="V11" t="s">
        <v>164</v>
      </c>
      <c r="Z11" t="s">
        <v>164</v>
      </c>
    </row>
    <row r="12" spans="1:62" x14ac:dyDescent="0.3">
      <c r="A12" s="34"/>
      <c r="B12" s="29"/>
      <c r="C12" s="35"/>
      <c r="D12" s="35"/>
      <c r="E12" s="35"/>
      <c r="F12" s="35"/>
      <c r="G12" s="36" t="str">
        <f t="shared" si="0"/>
        <v/>
      </c>
      <c r="J12" s="40" t="s">
        <v>149</v>
      </c>
      <c r="K12" s="50"/>
      <c r="V12" t="s">
        <v>164</v>
      </c>
      <c r="Z12" t="s">
        <v>164</v>
      </c>
    </row>
    <row r="13" spans="1:62" x14ac:dyDescent="0.3">
      <c r="A13" s="34"/>
      <c r="B13" s="29"/>
      <c r="C13" s="35"/>
      <c r="D13" s="35"/>
      <c r="E13" s="35"/>
      <c r="F13" s="35"/>
      <c r="G13" s="36" t="str">
        <f t="shared" si="0"/>
        <v/>
      </c>
      <c r="J13" s="40" t="s">
        <v>143</v>
      </c>
      <c r="K13" s="49"/>
      <c r="V13" t="s">
        <v>164</v>
      </c>
      <c r="Z13" t="s">
        <v>164</v>
      </c>
    </row>
    <row r="14" spans="1:62" x14ac:dyDescent="0.3">
      <c r="A14" s="34"/>
      <c r="B14" s="29"/>
      <c r="C14" s="35"/>
      <c r="D14" s="35"/>
      <c r="E14" s="35"/>
      <c r="F14" s="35"/>
      <c r="G14" s="36" t="str">
        <f t="shared" si="0"/>
        <v/>
      </c>
      <c r="J14" s="40" t="s">
        <v>137</v>
      </c>
      <c r="K14" s="48"/>
      <c r="V14" t="s">
        <v>164</v>
      </c>
      <c r="Z14" t="s">
        <v>164</v>
      </c>
    </row>
    <row r="15" spans="1:62" x14ac:dyDescent="0.3">
      <c r="A15" s="20"/>
      <c r="B15" s="26"/>
      <c r="C15" s="22"/>
      <c r="D15" s="22"/>
      <c r="E15" s="22"/>
      <c r="F15" s="22"/>
      <c r="G15" s="23"/>
      <c r="J15" s="40"/>
      <c r="K15" s="41"/>
      <c r="V15" t="s">
        <v>164</v>
      </c>
      <c r="Z15" t="s">
        <v>164</v>
      </c>
    </row>
    <row r="16" spans="1:62" x14ac:dyDescent="0.3">
      <c r="A16" s="89" t="s">
        <v>155</v>
      </c>
      <c r="B16" s="90"/>
      <c r="C16" s="90"/>
      <c r="D16" s="90"/>
      <c r="E16" s="90"/>
      <c r="F16" s="90"/>
      <c r="G16" s="21">
        <f>C10*D10+C11*D11+C12*D12+C13*D13+C14*D14</f>
        <v>800</v>
      </c>
      <c r="J16" s="40" t="s">
        <v>150</v>
      </c>
      <c r="K16" s="41" t="s">
        <v>167</v>
      </c>
      <c r="V16" t="s">
        <v>164</v>
      </c>
      <c r="Z16" t="s">
        <v>164</v>
      </c>
    </row>
    <row r="17" spans="1:26" x14ac:dyDescent="0.3">
      <c r="A17" s="89" t="s">
        <v>137</v>
      </c>
      <c r="B17" s="90"/>
      <c r="C17" s="90"/>
      <c r="D17" s="90"/>
      <c r="E17" s="90"/>
      <c r="F17" s="90"/>
      <c r="G17" s="21">
        <f>SUM(F10:F14)</f>
        <v>0</v>
      </c>
      <c r="J17" s="40" t="s">
        <v>151</v>
      </c>
      <c r="K17" s="41" t="s">
        <v>170</v>
      </c>
      <c r="V17" t="s">
        <v>164</v>
      </c>
      <c r="Z17" t="s">
        <v>164</v>
      </c>
    </row>
    <row r="18" spans="1:26" x14ac:dyDescent="0.3">
      <c r="A18" s="89" t="s">
        <v>143</v>
      </c>
      <c r="B18" s="90"/>
      <c r="C18" s="90"/>
      <c r="D18" s="90"/>
      <c r="E18" s="90"/>
      <c r="F18" s="90"/>
      <c r="G18" s="21">
        <f>SUM(E10:E14)</f>
        <v>300</v>
      </c>
      <c r="J18" s="40" t="s">
        <v>154</v>
      </c>
      <c r="K18" s="42" t="str">
        <f>IF(K17="Un-paid",G6+30," - ")</f>
        <v xml:space="preserve"> - </v>
      </c>
      <c r="V18" t="s">
        <v>164</v>
      </c>
      <c r="Z18" t="s">
        <v>164</v>
      </c>
    </row>
    <row r="19" spans="1:26" x14ac:dyDescent="0.3">
      <c r="A19" s="89" t="s">
        <v>138</v>
      </c>
      <c r="B19" s="90"/>
      <c r="C19" s="90"/>
      <c r="D19" s="90"/>
      <c r="E19" s="90"/>
      <c r="F19" s="90"/>
      <c r="G19" s="21">
        <f>G16+G17-G18</f>
        <v>500</v>
      </c>
      <c r="V19" t="s">
        <v>164</v>
      </c>
      <c r="Z19" t="s">
        <v>164</v>
      </c>
    </row>
    <row r="20" spans="1:26" x14ac:dyDescent="0.3">
      <c r="A20" s="91" t="s">
        <v>175</v>
      </c>
      <c r="B20" s="92"/>
      <c r="C20" s="93"/>
      <c r="D20" s="93"/>
      <c r="E20" s="93"/>
      <c r="F20" s="93"/>
      <c r="G20" s="94"/>
      <c r="V20" t="s">
        <v>164</v>
      </c>
      <c r="Z20" t="s">
        <v>164</v>
      </c>
    </row>
    <row r="21" spans="1:26" ht="15" thickBot="1" x14ac:dyDescent="0.35">
      <c r="A21" s="95"/>
      <c r="B21" s="96"/>
      <c r="C21" s="96"/>
      <c r="D21" s="96"/>
      <c r="E21" s="96"/>
      <c r="F21" s="96"/>
      <c r="G21" s="97"/>
      <c r="V21" t="s">
        <v>164</v>
      </c>
      <c r="Z21" t="s">
        <v>164</v>
      </c>
    </row>
    <row r="22" spans="1:26" x14ac:dyDescent="0.3">
      <c r="V22" t="s">
        <v>164</v>
      </c>
      <c r="Z22" t="s">
        <v>164</v>
      </c>
    </row>
    <row r="23" spans="1:26" x14ac:dyDescent="0.3">
      <c r="I23" s="51" t="s">
        <v>115</v>
      </c>
      <c r="J23" s="52" t="s">
        <v>187</v>
      </c>
      <c r="K23" s="52" t="s">
        <v>22</v>
      </c>
      <c r="L23" s="52" t="s">
        <v>21</v>
      </c>
      <c r="M23" s="52" t="s">
        <v>11</v>
      </c>
      <c r="N23" s="52" t="s">
        <v>132</v>
      </c>
      <c r="O23" s="52" t="s">
        <v>13</v>
      </c>
      <c r="P23" s="52" t="s">
        <v>14</v>
      </c>
      <c r="Q23" s="52" t="s">
        <v>190</v>
      </c>
      <c r="R23" s="52" t="s">
        <v>121</v>
      </c>
      <c r="S23" s="52" t="s">
        <v>16</v>
      </c>
      <c r="T23" s="52" t="s">
        <v>197</v>
      </c>
      <c r="U23" s="53" t="s">
        <v>191</v>
      </c>
      <c r="V23" s="54" t="s">
        <v>164</v>
      </c>
      <c r="Z23" t="s">
        <v>164</v>
      </c>
    </row>
    <row r="24" spans="1:26" x14ac:dyDescent="0.3">
      <c r="I24" s="55" t="str">
        <f>B6</f>
        <v>PI-0004</v>
      </c>
      <c r="J24" s="56">
        <f>G6</f>
        <v>46251</v>
      </c>
      <c r="K24" s="57">
        <f>K3</f>
        <v>0</v>
      </c>
      <c r="L24" s="57" t="str">
        <f>_xlfn.XLOOKUP(K24,TableAccounts[Account_Name],TableAccounts[Account_ID],"-",0,1)</f>
        <v>-</v>
      </c>
      <c r="M24" s="58">
        <f>G16</f>
        <v>800</v>
      </c>
      <c r="N24" s="58">
        <f>+G17</f>
        <v>0</v>
      </c>
      <c r="O24" s="58">
        <f>+G18</f>
        <v>300</v>
      </c>
      <c r="P24" s="59">
        <f>+G19</f>
        <v>500</v>
      </c>
      <c r="Q24" s="57" t="str">
        <f>+K16</f>
        <v>Cash</v>
      </c>
      <c r="R24" s="57" t="str">
        <f>+K17</f>
        <v>Paid</v>
      </c>
      <c r="S24" s="39" t="str">
        <f>+K18</f>
        <v xml:space="preserve"> - </v>
      </c>
      <c r="T24" s="57" t="str">
        <f>K7</f>
        <v>Customer</v>
      </c>
      <c r="U24" s="57">
        <f>K5</f>
        <v>1003</v>
      </c>
      <c r="V24" t="s">
        <v>164</v>
      </c>
      <c r="Z24" t="s">
        <v>164</v>
      </c>
    </row>
    <row r="25" spans="1:26" x14ac:dyDescent="0.3">
      <c r="J25"/>
      <c r="K25"/>
      <c r="V25" t="s">
        <v>164</v>
      </c>
      <c r="Z25" t="s">
        <v>164</v>
      </c>
    </row>
    <row r="26" spans="1:26" x14ac:dyDescent="0.3">
      <c r="J26"/>
      <c r="K26"/>
      <c r="V26" t="s">
        <v>164</v>
      </c>
      <c r="Z26" t="s">
        <v>164</v>
      </c>
    </row>
    <row r="27" spans="1:26" x14ac:dyDescent="0.3">
      <c r="V27" t="s">
        <v>164</v>
      </c>
      <c r="Z27" t="s">
        <v>164</v>
      </c>
    </row>
    <row r="28" spans="1:26" x14ac:dyDescent="0.3">
      <c r="V28" t="s">
        <v>164</v>
      </c>
      <c r="Z28" t="s">
        <v>164</v>
      </c>
    </row>
    <row r="29" spans="1:26" x14ac:dyDescent="0.3">
      <c r="J29"/>
      <c r="K29"/>
      <c r="V29" t="s">
        <v>164</v>
      </c>
      <c r="Z29" t="s">
        <v>164</v>
      </c>
    </row>
    <row r="30" spans="1:26" x14ac:dyDescent="0.3">
      <c r="J30"/>
      <c r="K30"/>
      <c r="V30" t="s">
        <v>164</v>
      </c>
      <c r="Z30" t="s">
        <v>164</v>
      </c>
    </row>
    <row r="31" spans="1:26" x14ac:dyDescent="0.3">
      <c r="V31" t="s">
        <v>164</v>
      </c>
      <c r="Z31" t="s">
        <v>164</v>
      </c>
    </row>
    <row r="32" spans="1:26" x14ac:dyDescent="0.3">
      <c r="V32" t="s">
        <v>164</v>
      </c>
      <c r="Z32" t="s">
        <v>164</v>
      </c>
    </row>
    <row r="33" spans="11:26" x14ac:dyDescent="0.3">
      <c r="V33" t="s">
        <v>164</v>
      </c>
      <c r="Z33" t="s">
        <v>164</v>
      </c>
    </row>
    <row r="34" spans="11:26" x14ac:dyDescent="0.3">
      <c r="V34" t="s">
        <v>164</v>
      </c>
      <c r="Z34" t="s">
        <v>164</v>
      </c>
    </row>
    <row r="35" spans="11:26" x14ac:dyDescent="0.3">
      <c r="V35" t="s">
        <v>164</v>
      </c>
      <c r="Z35" t="s">
        <v>164</v>
      </c>
    </row>
    <row r="36" spans="11:26" x14ac:dyDescent="0.3">
      <c r="V36" t="s">
        <v>164</v>
      </c>
      <c r="Z36" t="s">
        <v>164</v>
      </c>
    </row>
    <row r="37" spans="11:26" x14ac:dyDescent="0.3">
      <c r="V37" t="s">
        <v>164</v>
      </c>
      <c r="Z37" t="s">
        <v>164</v>
      </c>
    </row>
    <row r="38" spans="11:26" x14ac:dyDescent="0.3">
      <c r="V38" t="s">
        <v>164</v>
      </c>
      <c r="Z38" t="s">
        <v>164</v>
      </c>
    </row>
    <row r="39" spans="11:26" x14ac:dyDescent="0.3">
      <c r="K39" t="s">
        <v>164</v>
      </c>
      <c r="L39" t="s">
        <v>164</v>
      </c>
      <c r="M39" t="s">
        <v>164</v>
      </c>
      <c r="N39" t="s">
        <v>164</v>
      </c>
      <c r="O39" t="s">
        <v>164</v>
      </c>
      <c r="P39" t="s">
        <v>164</v>
      </c>
      <c r="Q39" t="s">
        <v>164</v>
      </c>
      <c r="R39" t="s">
        <v>164</v>
      </c>
      <c r="S39" t="s">
        <v>164</v>
      </c>
      <c r="T39" t="s">
        <v>164</v>
      </c>
      <c r="U39" t="s">
        <v>164</v>
      </c>
      <c r="V39" t="s">
        <v>164</v>
      </c>
      <c r="W39" t="s">
        <v>164</v>
      </c>
      <c r="X39" t="s">
        <v>164</v>
      </c>
      <c r="Y39" t="s">
        <v>164</v>
      </c>
      <c r="Z39" t="s">
        <v>164</v>
      </c>
    </row>
    <row r="40" spans="11:26" x14ac:dyDescent="0.3">
      <c r="K40" t="s">
        <v>164</v>
      </c>
      <c r="V40" t="s">
        <v>164</v>
      </c>
    </row>
    <row r="41" spans="11:26" x14ac:dyDescent="0.3">
      <c r="K41" t="s">
        <v>164</v>
      </c>
      <c r="V41" t="s">
        <v>164</v>
      </c>
    </row>
    <row r="42" spans="11:26" x14ac:dyDescent="0.3">
      <c r="K42" t="s">
        <v>164</v>
      </c>
      <c r="V42" t="s">
        <v>164</v>
      </c>
    </row>
    <row r="43" spans="11:26" x14ac:dyDescent="0.3">
      <c r="K43" t="s">
        <v>164</v>
      </c>
      <c r="V43" t="s">
        <v>164</v>
      </c>
    </row>
    <row r="44" spans="11:26" x14ac:dyDescent="0.3">
      <c r="K44" t="str" cm="1">
        <f t="array" ref="K44:K55">_xlfn.UNIQUE(TableAccounts[Account_Name],FALSE,TRUE)</f>
        <v>ANSAR C2</v>
      </c>
      <c r="V44" t="s">
        <v>164</v>
      </c>
    </row>
    <row r="45" spans="11:26" x14ac:dyDescent="0.3">
      <c r="K45" t="str">
        <v>ABRAR C2</v>
      </c>
      <c r="V45" t="s">
        <v>164</v>
      </c>
    </row>
    <row r="46" spans="11:26" x14ac:dyDescent="0.3">
      <c r="K46" t="str">
        <v>MEHNAZ T</v>
      </c>
      <c r="V46" t="s">
        <v>164</v>
      </c>
    </row>
    <row r="47" spans="11:26" x14ac:dyDescent="0.3">
      <c r="K47" t="str">
        <v>OTHERS</v>
      </c>
      <c r="V47" t="s">
        <v>164</v>
      </c>
    </row>
    <row r="48" spans="11:26" x14ac:dyDescent="0.3">
      <c r="K48" t="str">
        <v>EXPENSES</v>
      </c>
      <c r="V48" t="s">
        <v>164</v>
      </c>
    </row>
    <row r="49" spans="11:22" x14ac:dyDescent="0.3">
      <c r="K49" t="str">
        <v>GPS CHAK 54P</v>
      </c>
      <c r="V49" t="s">
        <v>164</v>
      </c>
    </row>
    <row r="50" spans="11:22" x14ac:dyDescent="0.3">
      <c r="K50" s="30" t="str">
        <v>Cash</v>
      </c>
      <c r="V50" t="s">
        <v>164</v>
      </c>
    </row>
    <row r="51" spans="11:22" x14ac:dyDescent="0.3">
      <c r="K51" s="30" t="str">
        <v>Bank</v>
      </c>
      <c r="V51" t="s">
        <v>164</v>
      </c>
    </row>
    <row r="52" spans="11:22" x14ac:dyDescent="0.3">
      <c r="K52" s="30" t="str">
        <v>Sales Tax Payable</v>
      </c>
      <c r="V52" t="s">
        <v>164</v>
      </c>
    </row>
    <row r="53" spans="11:22" x14ac:dyDescent="0.3">
      <c r="K53" s="30" t="str">
        <v>Input Tax</v>
      </c>
      <c r="V53" t="s">
        <v>164</v>
      </c>
    </row>
    <row r="54" spans="11:22" x14ac:dyDescent="0.3">
      <c r="K54" s="30" t="str">
        <v>Sales Revenue</v>
      </c>
      <c r="V54" t="s">
        <v>164</v>
      </c>
    </row>
    <row r="55" spans="11:22" x14ac:dyDescent="0.3">
      <c r="K55" s="30" t="str">
        <v>Purchase</v>
      </c>
      <c r="V55" t="s">
        <v>164</v>
      </c>
    </row>
    <row r="56" spans="11:22" x14ac:dyDescent="0.3">
      <c r="V56" t="s">
        <v>164</v>
      </c>
    </row>
    <row r="57" spans="11:22" x14ac:dyDescent="0.3">
      <c r="V57" t="s">
        <v>164</v>
      </c>
    </row>
    <row r="58" spans="11:22" x14ac:dyDescent="0.3">
      <c r="V58" t="s">
        <v>164</v>
      </c>
    </row>
    <row r="59" spans="11:22" x14ac:dyDescent="0.3">
      <c r="V59" t="s">
        <v>164</v>
      </c>
    </row>
    <row r="60" spans="11:22" x14ac:dyDescent="0.3">
      <c r="V60" t="s">
        <v>164</v>
      </c>
    </row>
    <row r="61" spans="11:22" x14ac:dyDescent="0.3">
      <c r="V61" t="s">
        <v>164</v>
      </c>
    </row>
    <row r="62" spans="11:22" x14ac:dyDescent="0.3">
      <c r="V62" t="s">
        <v>164</v>
      </c>
    </row>
    <row r="63" spans="11:22" x14ac:dyDescent="0.3">
      <c r="V63" t="s">
        <v>164</v>
      </c>
    </row>
    <row r="64" spans="11:22" x14ac:dyDescent="0.3">
      <c r="V64" t="s">
        <v>164</v>
      </c>
    </row>
    <row r="65" spans="22:22" x14ac:dyDescent="0.3">
      <c r="V65" t="s">
        <v>164</v>
      </c>
    </row>
    <row r="66" spans="22:22" x14ac:dyDescent="0.3">
      <c r="V66" t="s">
        <v>164</v>
      </c>
    </row>
    <row r="67" spans="22:22" x14ac:dyDescent="0.3">
      <c r="V67" t="s">
        <v>164</v>
      </c>
    </row>
    <row r="68" spans="22:22" x14ac:dyDescent="0.3">
      <c r="V68" t="s">
        <v>164</v>
      </c>
    </row>
    <row r="69" spans="22:22" x14ac:dyDescent="0.3">
      <c r="V69" t="s">
        <v>164</v>
      </c>
    </row>
    <row r="70" spans="22:22" x14ac:dyDescent="0.3">
      <c r="V70" t="s">
        <v>164</v>
      </c>
    </row>
    <row r="71" spans="22:22" x14ac:dyDescent="0.3">
      <c r="V71" t="s">
        <v>164</v>
      </c>
    </row>
    <row r="72" spans="22:22" x14ac:dyDescent="0.3">
      <c r="V72" t="s">
        <v>164</v>
      </c>
    </row>
    <row r="73" spans="22:22" x14ac:dyDescent="0.3">
      <c r="V73" t="s">
        <v>164</v>
      </c>
    </row>
    <row r="74" spans="22:22" x14ac:dyDescent="0.3">
      <c r="V74" t="s">
        <v>164</v>
      </c>
    </row>
    <row r="75" spans="22:22" x14ac:dyDescent="0.3">
      <c r="V75" t="s">
        <v>164</v>
      </c>
    </row>
    <row r="76" spans="22:22" x14ac:dyDescent="0.3">
      <c r="V76" t="s">
        <v>164</v>
      </c>
    </row>
    <row r="77" spans="22:22" x14ac:dyDescent="0.3">
      <c r="V77" t="s">
        <v>164</v>
      </c>
    </row>
    <row r="78" spans="22:22" x14ac:dyDescent="0.3">
      <c r="V78" t="s">
        <v>164</v>
      </c>
    </row>
    <row r="79" spans="22:22" x14ac:dyDescent="0.3">
      <c r="V79" t="s">
        <v>164</v>
      </c>
    </row>
    <row r="80" spans="22:22" x14ac:dyDescent="0.3">
      <c r="V80" t="s">
        <v>164</v>
      </c>
    </row>
    <row r="81" spans="22:22" x14ac:dyDescent="0.3">
      <c r="V81" t="s">
        <v>164</v>
      </c>
    </row>
    <row r="82" spans="22:22" x14ac:dyDescent="0.3">
      <c r="V82" t="s">
        <v>164</v>
      </c>
    </row>
    <row r="83" spans="22:22" x14ac:dyDescent="0.3">
      <c r="V83" t="s">
        <v>164</v>
      </c>
    </row>
    <row r="84" spans="22:22" x14ac:dyDescent="0.3">
      <c r="V84" t="s">
        <v>164</v>
      </c>
    </row>
    <row r="85" spans="22:22" x14ac:dyDescent="0.3">
      <c r="V85" t="s">
        <v>164</v>
      </c>
    </row>
    <row r="86" spans="22:22" x14ac:dyDescent="0.3">
      <c r="V86" t="s">
        <v>164</v>
      </c>
    </row>
    <row r="87" spans="22:22" x14ac:dyDescent="0.3">
      <c r="V87" t="s">
        <v>164</v>
      </c>
    </row>
    <row r="88" spans="22:22" x14ac:dyDescent="0.3">
      <c r="V88" t="s">
        <v>164</v>
      </c>
    </row>
    <row r="89" spans="22:22" x14ac:dyDescent="0.3">
      <c r="V89" t="s">
        <v>164</v>
      </c>
    </row>
    <row r="90" spans="22:22" x14ac:dyDescent="0.3">
      <c r="V90" t="s">
        <v>164</v>
      </c>
    </row>
    <row r="91" spans="22:22" x14ac:dyDescent="0.3">
      <c r="V91" t="s">
        <v>164</v>
      </c>
    </row>
    <row r="92" spans="22:22" x14ac:dyDescent="0.3">
      <c r="V92" t="s">
        <v>164</v>
      </c>
    </row>
    <row r="93" spans="22:22" x14ac:dyDescent="0.3">
      <c r="V93" t="s">
        <v>164</v>
      </c>
    </row>
    <row r="94" spans="22:22" x14ac:dyDescent="0.3">
      <c r="V94" t="s">
        <v>164</v>
      </c>
    </row>
    <row r="95" spans="22:22" x14ac:dyDescent="0.3">
      <c r="V95" t="s">
        <v>164</v>
      </c>
    </row>
    <row r="96" spans="22:22" x14ac:dyDescent="0.3">
      <c r="V96" t="s">
        <v>164</v>
      </c>
    </row>
    <row r="97" spans="22:22" x14ac:dyDescent="0.3">
      <c r="V97" t="s">
        <v>164</v>
      </c>
    </row>
    <row r="98" spans="22:22" x14ac:dyDescent="0.3">
      <c r="V98" t="s">
        <v>164</v>
      </c>
    </row>
    <row r="99" spans="22:22" x14ac:dyDescent="0.3">
      <c r="V99" t="s">
        <v>164</v>
      </c>
    </row>
    <row r="100" spans="22:22" x14ac:dyDescent="0.3">
      <c r="V100" t="s">
        <v>164</v>
      </c>
    </row>
    <row r="101" spans="22:22" x14ac:dyDescent="0.3">
      <c r="V101" t="s">
        <v>164</v>
      </c>
    </row>
    <row r="102" spans="22:22" x14ac:dyDescent="0.3">
      <c r="V102" t="s">
        <v>164</v>
      </c>
    </row>
    <row r="103" spans="22:22" x14ac:dyDescent="0.3">
      <c r="V103" t="s">
        <v>164</v>
      </c>
    </row>
    <row r="104" spans="22:22" x14ac:dyDescent="0.3">
      <c r="V104" t="s">
        <v>164</v>
      </c>
    </row>
    <row r="105" spans="22:22" x14ac:dyDescent="0.3">
      <c r="V105" t="s">
        <v>164</v>
      </c>
    </row>
    <row r="106" spans="22:22" x14ac:dyDescent="0.3">
      <c r="V106" t="s">
        <v>164</v>
      </c>
    </row>
    <row r="107" spans="22:22" x14ac:dyDescent="0.3">
      <c r="V107" t="s">
        <v>164</v>
      </c>
    </row>
    <row r="108" spans="22:22" x14ac:dyDescent="0.3">
      <c r="V108" t="s">
        <v>164</v>
      </c>
    </row>
    <row r="109" spans="22:22" x14ac:dyDescent="0.3">
      <c r="V109" t="s">
        <v>164</v>
      </c>
    </row>
    <row r="110" spans="22:22" x14ac:dyDescent="0.3">
      <c r="V110" t="s">
        <v>164</v>
      </c>
    </row>
    <row r="111" spans="22:22" x14ac:dyDescent="0.3">
      <c r="V111" t="s">
        <v>164</v>
      </c>
    </row>
    <row r="112" spans="22:22" x14ac:dyDescent="0.3">
      <c r="V112" t="s">
        <v>164</v>
      </c>
    </row>
    <row r="113" spans="11:22" x14ac:dyDescent="0.3">
      <c r="V113" t="s">
        <v>164</v>
      </c>
    </row>
    <row r="114" spans="11:22" x14ac:dyDescent="0.3">
      <c r="V114" t="s">
        <v>164</v>
      </c>
    </row>
    <row r="115" spans="11:22" x14ac:dyDescent="0.3">
      <c r="V115" t="s">
        <v>164</v>
      </c>
    </row>
    <row r="116" spans="11:22" x14ac:dyDescent="0.3">
      <c r="K116" t="s">
        <v>164</v>
      </c>
      <c r="L116" t="s">
        <v>164</v>
      </c>
      <c r="M116" t="s">
        <v>164</v>
      </c>
      <c r="N116" t="s">
        <v>164</v>
      </c>
      <c r="O116" t="s">
        <v>164</v>
      </c>
      <c r="P116" t="s">
        <v>164</v>
      </c>
      <c r="Q116" t="s">
        <v>164</v>
      </c>
      <c r="R116" t="s">
        <v>164</v>
      </c>
      <c r="S116" t="s">
        <v>164</v>
      </c>
      <c r="T116" t="s">
        <v>164</v>
      </c>
      <c r="U116" t="s">
        <v>164</v>
      </c>
      <c r="V116" t="s">
        <v>164</v>
      </c>
    </row>
    <row r="117" spans="11:22" x14ac:dyDescent="0.3">
      <c r="K117" t="s">
        <v>164</v>
      </c>
    </row>
    <row r="118" spans="11:22" x14ac:dyDescent="0.3">
      <c r="K118" t="s">
        <v>164</v>
      </c>
    </row>
    <row r="119" spans="11:22" x14ac:dyDescent="0.3">
      <c r="K119" t="s">
        <v>164</v>
      </c>
    </row>
    <row r="120" spans="11:22" x14ac:dyDescent="0.3">
      <c r="K120" t="s">
        <v>164</v>
      </c>
    </row>
    <row r="121" spans="11:22" x14ac:dyDescent="0.3">
      <c r="K121" s="30" t="str" cm="1">
        <f t="array" ref="K121:K153">_xlfn.UNIQUE(TableServices[Service_Name],FALSE,TRUE)</f>
        <v>Photostate BW</v>
      </c>
    </row>
    <row r="122" spans="11:22" x14ac:dyDescent="0.3">
      <c r="K122" s="30" t="str">
        <v>Photostate Color</v>
      </c>
    </row>
    <row r="123" spans="11:22" x14ac:dyDescent="0.3">
      <c r="K123" s="30" t="str">
        <v>Print BW</v>
      </c>
    </row>
    <row r="124" spans="11:22" x14ac:dyDescent="0.3">
      <c r="K124" s="30" t="str">
        <v>Print Color</v>
      </c>
    </row>
    <row r="125" spans="11:22" x14ac:dyDescent="0.3">
      <c r="K125" s="30" t="str">
        <v>CNIC Montly</v>
      </c>
    </row>
    <row r="126" spans="11:22" x14ac:dyDescent="0.3">
      <c r="K126" s="30" t="str">
        <v>CNIC Urgent</v>
      </c>
    </row>
    <row r="127" spans="11:22" x14ac:dyDescent="0.3">
      <c r="K127" s="30" t="str">
        <v>CNIC Exective</v>
      </c>
    </row>
    <row r="128" spans="11:22" x14ac:dyDescent="0.3">
      <c r="K128" s="30" t="str">
        <v>B Form Normal</v>
      </c>
    </row>
    <row r="129" spans="11:11" x14ac:dyDescent="0.3">
      <c r="K129" s="30" t="str">
        <v>B Form Urgent</v>
      </c>
    </row>
    <row r="130" spans="11:11" x14ac:dyDescent="0.3">
      <c r="K130" s="30" t="str">
        <v>FRC</v>
      </c>
    </row>
    <row r="131" spans="11:11" x14ac:dyDescent="0.3">
      <c r="K131" s="30" t="str">
        <v>CNIC Cancilation</v>
      </c>
    </row>
    <row r="132" spans="11:11" x14ac:dyDescent="0.3">
      <c r="K132" s="30" t="str">
        <v>Document Compoisition</v>
      </c>
    </row>
    <row r="133" spans="11:11" x14ac:dyDescent="0.3">
      <c r="K133" s="30" t="str">
        <v>Birth Certificate 01-10</v>
      </c>
    </row>
    <row r="134" spans="11:11" x14ac:dyDescent="0.3">
      <c r="K134" s="30" t="str">
        <v>Birth Certificate 10-15</v>
      </c>
    </row>
    <row r="135" spans="11:11" x14ac:dyDescent="0.3">
      <c r="K135" s="30" t="str">
        <v>Birth Certificate 15-18</v>
      </c>
    </row>
    <row r="136" spans="11:11" x14ac:dyDescent="0.3">
      <c r="K136" s="30" t="str">
        <v>Birth Certificate 18-30</v>
      </c>
    </row>
    <row r="137" spans="11:11" x14ac:dyDescent="0.3">
      <c r="K137" s="30" t="str">
        <v>Marriage Certificate Mus.</v>
      </c>
    </row>
    <row r="138" spans="11:11" x14ac:dyDescent="0.3">
      <c r="K138" s="30" t="str">
        <v>Marriage Certificate Non Mus.</v>
      </c>
    </row>
    <row r="139" spans="11:11" x14ac:dyDescent="0.3">
      <c r="K139" s="30" t="str">
        <v>Divorce Certificate</v>
      </c>
    </row>
    <row r="140" spans="11:11" x14ac:dyDescent="0.3">
      <c r="K140" s="30" t="str">
        <v>Death Certificate</v>
      </c>
    </row>
    <row r="141" spans="11:11" x14ac:dyDescent="0.3">
      <c r="K141" s="30" t="str">
        <v>Service PKR 100</v>
      </c>
    </row>
    <row r="142" spans="11:11" x14ac:dyDescent="0.3">
      <c r="K142" s="30" t="str">
        <v>Service PKR 200</v>
      </c>
    </row>
    <row r="143" spans="11:11" x14ac:dyDescent="0.3">
      <c r="K143" s="30" t="str">
        <v>Service PKR 300</v>
      </c>
    </row>
    <row r="144" spans="11:11" x14ac:dyDescent="0.3">
      <c r="K144" s="30" t="str">
        <v>Service PKR 500</v>
      </c>
    </row>
    <row r="145" spans="11:11" x14ac:dyDescent="0.3">
      <c r="K145" s="30" t="str">
        <v>Service PKR 1000</v>
      </c>
    </row>
    <row r="146" spans="11:11" x14ac:dyDescent="0.3">
      <c r="K146" s="30" t="str">
        <v>Service PKR 50</v>
      </c>
    </row>
    <row r="147" spans="11:11" x14ac:dyDescent="0.3">
      <c r="K147" s="30" t="str">
        <v>Misc. Expenses</v>
      </c>
    </row>
    <row r="148" spans="11:11" x14ac:dyDescent="0.3">
      <c r="K148" s="30" t="str">
        <v>Transfer Motor Vehile</v>
      </c>
    </row>
    <row r="149" spans="11:11" x14ac:dyDescent="0.3">
      <c r="K149" s="30" t="str">
        <v>Biomatric Verification</v>
      </c>
    </row>
    <row r="150" spans="11:11" x14ac:dyDescent="0.3">
      <c r="K150" s="30" t="str">
        <v>Inspection fee</v>
      </c>
    </row>
    <row r="151" spans="11:11" x14ac:dyDescent="0.3">
      <c r="K151" s="30" t="str">
        <v>Jazz Cash</v>
      </c>
    </row>
    <row r="152" spans="11:11" x14ac:dyDescent="0.3">
      <c r="K152" s="30" t="str">
        <v>Easypesa</v>
      </c>
    </row>
    <row r="153" spans="11:11" x14ac:dyDescent="0.3">
      <c r="K153" s="30" t="str">
        <v>Train Tickets</v>
      </c>
    </row>
  </sheetData>
  <mergeCells count="12">
    <mergeCell ref="A16:F16"/>
    <mergeCell ref="A17:F17"/>
    <mergeCell ref="A18:F18"/>
    <mergeCell ref="A19:F19"/>
    <mergeCell ref="A20:G21"/>
    <mergeCell ref="B8:D8"/>
    <mergeCell ref="A1:G1"/>
    <mergeCell ref="A2:G2"/>
    <mergeCell ref="A3:G3"/>
    <mergeCell ref="A4:G4"/>
    <mergeCell ref="A5:G5"/>
    <mergeCell ref="B7:D7"/>
  </mergeCells>
  <dataValidations count="1">
    <dataValidation type="list" allowBlank="1" showInputMessage="1" sqref="K9 K3" xr:uid="{339589CC-EFC4-43B0-87CC-D492B3077D97}">
      <formula1>_xlfn.ANCHORARRAY($AD3)</formula1>
    </dataValidation>
  </dataValidations>
  <pageMargins left="0.51" right="0.25" top="0.4" bottom="0.31" header="0.24" footer="0.16"/>
  <pageSetup paperSize="11" scale="115" orientation="landscape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45F2BD6-47DF-4607-A009-FB8DEAD9864D}">
          <x14:formula1>
            <xm:f>Drop_Down!$G$5:$G$7</xm:f>
          </x14:formula1>
          <xm:sqref>K17</xm:sqref>
        </x14:dataValidation>
        <x14:dataValidation type="list" allowBlank="1" showInputMessage="1" showErrorMessage="1" xr:uid="{DFABBEB7-67EB-4B81-8EA4-F5C7C66912C8}">
          <x14:formula1>
            <xm:f>Drop_Down!$D$5:$D$7</xm:f>
          </x14:formula1>
          <xm:sqref>K16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82C27-BC11-46DD-B929-4E77C75EAE4C}">
  <sheetPr codeName="Sheet4"/>
  <dimension ref="A1:M5"/>
  <sheetViews>
    <sheetView topLeftCell="C1" workbookViewId="0">
      <selection activeCell="H12" sqref="H12"/>
    </sheetView>
  </sheetViews>
  <sheetFormatPr defaultRowHeight="14.4" x14ac:dyDescent="0.3"/>
  <cols>
    <col min="1" max="1" width="14.21875" customWidth="1"/>
    <col min="2" max="3" width="16.77734375" customWidth="1"/>
    <col min="4" max="5" width="18.77734375" bestFit="1" customWidth="1"/>
    <col min="6" max="6" width="16.77734375" customWidth="1"/>
    <col min="7" max="7" width="18.21875" customWidth="1"/>
    <col min="8" max="8" width="18.6640625" bestFit="1" customWidth="1"/>
    <col min="9" max="9" width="18.77734375" bestFit="1" customWidth="1"/>
    <col min="10" max="10" width="14.77734375" bestFit="1" customWidth="1"/>
    <col min="11" max="11" width="15.109375" bestFit="1" customWidth="1"/>
    <col min="12" max="12" width="18.6640625" bestFit="1" customWidth="1"/>
    <col min="13" max="13" width="11.44140625" bestFit="1" customWidth="1"/>
  </cols>
  <sheetData>
    <row r="1" spans="1:13" x14ac:dyDescent="0.3">
      <c r="A1" t="s">
        <v>115</v>
      </c>
      <c r="B1" t="s">
        <v>187</v>
      </c>
      <c r="C1" t="s">
        <v>22</v>
      </c>
      <c r="D1" t="s">
        <v>21</v>
      </c>
      <c r="E1" t="s">
        <v>11</v>
      </c>
      <c r="F1" t="s">
        <v>12</v>
      </c>
      <c r="G1" t="s">
        <v>13</v>
      </c>
      <c r="H1" t="s">
        <v>14</v>
      </c>
      <c r="I1" t="s">
        <v>117</v>
      </c>
      <c r="J1" t="s">
        <v>130</v>
      </c>
      <c r="K1" t="s">
        <v>16</v>
      </c>
      <c r="L1" t="s">
        <v>197</v>
      </c>
      <c r="M1" t="s">
        <v>116</v>
      </c>
    </row>
    <row r="2" spans="1:13" x14ac:dyDescent="0.3">
      <c r="A2" t="s">
        <v>178</v>
      </c>
      <c r="B2" t="s">
        <v>178</v>
      </c>
      <c r="C2" t="s">
        <v>178</v>
      </c>
      <c r="D2" t="s">
        <v>178</v>
      </c>
      <c r="E2" t="s">
        <v>178</v>
      </c>
      <c r="F2" t="s">
        <v>178</v>
      </c>
      <c r="G2" t="s">
        <v>178</v>
      </c>
      <c r="H2" t="s">
        <v>178</v>
      </c>
      <c r="I2" t="s">
        <v>178</v>
      </c>
      <c r="J2" t="s">
        <v>178</v>
      </c>
      <c r="K2" t="s">
        <v>178</v>
      </c>
      <c r="L2" t="s">
        <v>178</v>
      </c>
      <c r="M2" t="s">
        <v>178</v>
      </c>
    </row>
    <row r="3" spans="1:13" x14ac:dyDescent="0.3">
      <c r="A3" t="s">
        <v>198</v>
      </c>
      <c r="B3" s="28">
        <v>46251</v>
      </c>
      <c r="C3" t="s">
        <v>99</v>
      </c>
      <c r="D3" t="s">
        <v>199</v>
      </c>
      <c r="E3">
        <v>3000</v>
      </c>
      <c r="F3">
        <v>0</v>
      </c>
      <c r="G3">
        <v>0</v>
      </c>
      <c r="H3">
        <v>3000</v>
      </c>
      <c r="I3" t="s">
        <v>167</v>
      </c>
      <c r="J3" t="s">
        <v>170</v>
      </c>
      <c r="K3" t="s">
        <v>182</v>
      </c>
      <c r="L3" t="s">
        <v>125</v>
      </c>
      <c r="M3">
        <v>1003</v>
      </c>
    </row>
    <row r="4" spans="1:13" x14ac:dyDescent="0.3">
      <c r="A4" t="s">
        <v>200</v>
      </c>
      <c r="B4" s="28">
        <v>46251</v>
      </c>
      <c r="C4" t="s">
        <v>98</v>
      </c>
      <c r="D4" t="s">
        <v>128</v>
      </c>
      <c r="E4">
        <v>4630</v>
      </c>
      <c r="F4">
        <v>0</v>
      </c>
      <c r="G4">
        <v>0</v>
      </c>
      <c r="H4">
        <v>4630</v>
      </c>
      <c r="I4" t="s">
        <v>167</v>
      </c>
      <c r="J4" t="s">
        <v>170</v>
      </c>
      <c r="K4" t="s">
        <v>182</v>
      </c>
      <c r="L4" t="s">
        <v>125</v>
      </c>
      <c r="M4">
        <v>1003</v>
      </c>
    </row>
    <row r="5" spans="1:13" x14ac:dyDescent="0.3">
      <c r="A5" t="s">
        <v>201</v>
      </c>
      <c r="B5" s="28">
        <v>46251</v>
      </c>
      <c r="C5" t="s">
        <v>100</v>
      </c>
      <c r="D5" t="s">
        <v>184</v>
      </c>
      <c r="E5">
        <v>800</v>
      </c>
      <c r="F5">
        <v>0</v>
      </c>
      <c r="G5">
        <v>300</v>
      </c>
      <c r="H5">
        <v>500</v>
      </c>
      <c r="I5" t="s">
        <v>167</v>
      </c>
      <c r="J5" t="s">
        <v>170</v>
      </c>
      <c r="K5" t="s">
        <v>182</v>
      </c>
      <c r="L5" t="s">
        <v>126</v>
      </c>
      <c r="M5">
        <v>1003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E3F29-9344-4DFE-9B1A-95341D0724FC}">
  <sheetPr codeName="Sheet8"/>
  <dimension ref="A1:I11"/>
  <sheetViews>
    <sheetView workbookViewId="0">
      <selection activeCell="I10" sqref="I10:I11"/>
    </sheetView>
  </sheetViews>
  <sheetFormatPr defaultRowHeight="14.4" x14ac:dyDescent="0.3"/>
  <cols>
    <col min="1" max="1" width="12.109375" bestFit="1" customWidth="1"/>
    <col min="2" max="2" width="12" bestFit="1" customWidth="1"/>
    <col min="3" max="3" width="15.33203125" bestFit="1" customWidth="1"/>
    <col min="4" max="4" width="12.6640625" bestFit="1" customWidth="1"/>
    <col min="5" max="5" width="12.109375" bestFit="1" customWidth="1"/>
    <col min="6" max="6" width="11.88671875" bestFit="1" customWidth="1"/>
    <col min="7" max="7" width="10.5546875" bestFit="1" customWidth="1"/>
    <col min="8" max="8" width="8.6640625" customWidth="1"/>
    <col min="9" max="10" width="11.88671875" bestFit="1" customWidth="1"/>
  </cols>
  <sheetData>
    <row r="1" spans="1:9" x14ac:dyDescent="0.3">
      <c r="A1" t="s">
        <v>129</v>
      </c>
      <c r="B1" t="s">
        <v>5</v>
      </c>
      <c r="C1" t="s">
        <v>6</v>
      </c>
      <c r="D1" t="s">
        <v>7</v>
      </c>
      <c r="E1" t="s">
        <v>17</v>
      </c>
      <c r="F1" t="s">
        <v>9</v>
      </c>
      <c r="G1" t="s">
        <v>13</v>
      </c>
      <c r="H1" t="s">
        <v>132</v>
      </c>
      <c r="I1" t="s">
        <v>19</v>
      </c>
    </row>
    <row r="2" spans="1:9" x14ac:dyDescent="0.3">
      <c r="A2" t="s">
        <v>178</v>
      </c>
      <c r="B2" t="str">
        <f>IF(TableInvoiceDetails3[[#This Row],[Service_Name]]&gt;0,_xlfn.XLOOKUP(TableInvoiceDetails3[[#This Row],[Service_Name]],TableServices[Service_Name],TableServices[Service_ID],"-",0,1),"")</f>
        <v>-</v>
      </c>
      <c r="C2" t="s">
        <v>178</v>
      </c>
      <c r="D2" t="s">
        <v>178</v>
      </c>
      <c r="E2" t="s">
        <v>178</v>
      </c>
      <c r="F2" t="s">
        <v>178</v>
      </c>
      <c r="G2" t="s">
        <v>178</v>
      </c>
      <c r="H2" t="s">
        <v>178</v>
      </c>
      <c r="I2" t="s">
        <v>178</v>
      </c>
    </row>
    <row r="3" spans="1:9" x14ac:dyDescent="0.3">
      <c r="A3" t="s">
        <v>198</v>
      </c>
      <c r="B3" t="str">
        <f>IF(TableInvoiceDetails3[[#This Row],[Service_Name]]&gt;0,_xlfn.XLOOKUP(TableInvoiceDetails3[[#This Row],[Service_Name]],TableServices[Service_Name],TableServices[Service_ID],"-",0,1),"")</f>
        <v>SRV-0024</v>
      </c>
      <c r="C3" t="s">
        <v>46</v>
      </c>
      <c r="D3" t="s">
        <v>78</v>
      </c>
      <c r="E3">
        <v>2</v>
      </c>
      <c r="F3">
        <v>500</v>
      </c>
      <c r="G3">
        <v>0</v>
      </c>
      <c r="H3">
        <v>0</v>
      </c>
      <c r="I3">
        <v>1000</v>
      </c>
    </row>
    <row r="4" spans="1:9" x14ac:dyDescent="0.3">
      <c r="A4" t="s">
        <v>198</v>
      </c>
      <c r="B4" t="str">
        <f>IF(TableInvoiceDetails3[[#This Row],[Service_Name]]&gt;0,_xlfn.XLOOKUP(TableInvoiceDetails3[[#This Row],[Service_Name]],TableServices[Service_Name],TableServices[Service_ID],"-",0,1),"")</f>
        <v>SRV-0027</v>
      </c>
      <c r="C4" t="s">
        <v>49</v>
      </c>
      <c r="D4" t="s">
        <v>81</v>
      </c>
      <c r="E4">
        <v>4</v>
      </c>
      <c r="F4">
        <v>500</v>
      </c>
      <c r="G4">
        <v>0</v>
      </c>
      <c r="H4">
        <v>0</v>
      </c>
      <c r="I4">
        <v>2000</v>
      </c>
    </row>
    <row r="5" spans="1:9" x14ac:dyDescent="0.3">
      <c r="A5" t="s">
        <v>200</v>
      </c>
      <c r="B5" t="str">
        <f>IF(TableInvoiceDetails3[[#This Row],[Service_Name]]&gt;0,_xlfn.XLOOKUP(TableInvoiceDetails3[[#This Row],[Service_Name]],TableServices[Service_Name],TableServices[Service_ID],"-",0,1),"")</f>
        <v>SRV-0010</v>
      </c>
      <c r="C5" t="s">
        <v>32</v>
      </c>
      <c r="D5" t="s">
        <v>96</v>
      </c>
      <c r="E5">
        <v>1</v>
      </c>
      <c r="F5">
        <v>3000</v>
      </c>
      <c r="G5">
        <v>0</v>
      </c>
      <c r="H5">
        <v>0</v>
      </c>
      <c r="I5">
        <v>3000</v>
      </c>
    </row>
    <row r="6" spans="1:9" x14ac:dyDescent="0.3">
      <c r="A6" t="s">
        <v>200</v>
      </c>
      <c r="B6" t="str">
        <f>IF(TableInvoiceDetails3[[#This Row],[Service_Name]]&gt;0,_xlfn.XLOOKUP(TableInvoiceDetails3[[#This Row],[Service_Name]],TableServices[Service_Name],TableServices[Service_ID],"-",0,1),"")</f>
        <v>SRV-0027</v>
      </c>
      <c r="C6" t="s">
        <v>49</v>
      </c>
      <c r="D6" t="s">
        <v>81</v>
      </c>
      <c r="E6">
        <v>2</v>
      </c>
      <c r="F6">
        <v>500</v>
      </c>
      <c r="G6">
        <v>0</v>
      </c>
      <c r="H6">
        <v>0</v>
      </c>
      <c r="I6">
        <v>1000</v>
      </c>
    </row>
    <row r="7" spans="1:9" x14ac:dyDescent="0.3">
      <c r="A7" t="s">
        <v>200</v>
      </c>
      <c r="B7" t="str">
        <f>IF(TableInvoiceDetails3[[#This Row],[Service_Name]]&gt;0,_xlfn.XLOOKUP(TableInvoiceDetails3[[#This Row],[Service_Name]],TableServices[Service_Name],TableServices[Service_ID],"-",0,1),"")</f>
        <v>SRV-0031</v>
      </c>
      <c r="C7" t="s">
        <v>53</v>
      </c>
      <c r="D7" t="s">
        <v>85</v>
      </c>
      <c r="E7">
        <v>500</v>
      </c>
      <c r="F7">
        <v>1</v>
      </c>
      <c r="I7">
        <v>500</v>
      </c>
    </row>
    <row r="8" spans="1:9" x14ac:dyDescent="0.3">
      <c r="A8" t="s">
        <v>200</v>
      </c>
      <c r="B8" t="str">
        <f>IF(TableInvoiceDetails3[[#This Row],[Service_Name]]&gt;0,_xlfn.XLOOKUP(TableInvoiceDetails3[[#This Row],[Service_Name]],TableServices[Service_Name],TableServices[Service_ID],"-",0,1),"")</f>
        <v>SRV-0011</v>
      </c>
      <c r="C8" t="s">
        <v>33</v>
      </c>
      <c r="D8" t="s">
        <v>65</v>
      </c>
      <c r="E8">
        <v>1</v>
      </c>
      <c r="F8">
        <v>100</v>
      </c>
      <c r="I8">
        <v>100</v>
      </c>
    </row>
    <row r="9" spans="1:9" x14ac:dyDescent="0.3">
      <c r="A9" t="s">
        <v>200</v>
      </c>
      <c r="B9" t="str">
        <f>IF(TableInvoiceDetails3[[#This Row],[Service_Name]]&gt;0,_xlfn.XLOOKUP(TableInvoiceDetails3[[#This Row],[Service_Name]],TableServices[Service_Name],TableServices[Service_ID],"-",0,1),"")</f>
        <v>SRV-0002</v>
      </c>
      <c r="C9" t="s">
        <v>24</v>
      </c>
      <c r="D9" t="s">
        <v>57</v>
      </c>
      <c r="E9">
        <v>3</v>
      </c>
      <c r="F9">
        <v>10</v>
      </c>
      <c r="I9">
        <v>30</v>
      </c>
    </row>
    <row r="10" spans="1:9" x14ac:dyDescent="0.3">
      <c r="A10" t="s">
        <v>201</v>
      </c>
      <c r="B10" s="11" t="str">
        <f>IF(TableInvoiceDetails3[[#This Row],[Service_Name]]&gt;0,_xlfn.XLOOKUP(TableInvoiceDetails3[[#This Row],[Service_Name]],TableServices[Service_Name],TableServices[Service_ID],"-",0,1),"")</f>
        <v>SRV-0009</v>
      </c>
      <c r="C10" t="s">
        <v>31</v>
      </c>
      <c r="D10" t="s">
        <v>64</v>
      </c>
      <c r="E10">
        <v>1</v>
      </c>
      <c r="F10">
        <v>700</v>
      </c>
      <c r="G10">
        <v>300</v>
      </c>
      <c r="I10">
        <v>400</v>
      </c>
    </row>
    <row r="11" spans="1:9" x14ac:dyDescent="0.3">
      <c r="A11" t="s">
        <v>201</v>
      </c>
      <c r="B11" s="11" t="str">
        <f>IF(TableInvoiceDetails3[[#This Row],[Service_Name]]&gt;0,_xlfn.XLOOKUP(TableInvoiceDetails3[[#This Row],[Service_Name]],TableServices[Service_Name],TableServices[Service_ID],"-",0,1),"")</f>
        <v>SRV-0008</v>
      </c>
      <c r="C11" t="s">
        <v>30</v>
      </c>
      <c r="D11" t="s">
        <v>63</v>
      </c>
      <c r="E11">
        <v>1</v>
      </c>
      <c r="F11">
        <v>100</v>
      </c>
      <c r="I11">
        <v>100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E4C90-497C-4C3A-8043-B6A5F4EF0702}">
  <sheetPr codeName="Sheet9">
    <tabColor rgb="FFFFFF00"/>
  </sheetPr>
  <dimension ref="A1:BJ153"/>
  <sheetViews>
    <sheetView showGridLines="0" tabSelected="1" zoomScale="140" zoomScaleNormal="140" workbookViewId="0">
      <selection activeCell="B14" sqref="B14"/>
    </sheetView>
  </sheetViews>
  <sheetFormatPr defaultRowHeight="14.4" x14ac:dyDescent="0.3"/>
  <cols>
    <col min="1" max="1" width="18.6640625" customWidth="1"/>
    <col min="2" max="2" width="18.44140625" customWidth="1"/>
    <col min="3" max="6" width="7.33203125" customWidth="1"/>
    <col min="7" max="7" width="14" customWidth="1"/>
    <col min="8" max="8" width="4.33203125" customWidth="1"/>
    <col min="9" max="9" width="14.5546875" customWidth="1"/>
    <col min="10" max="10" width="16.109375" style="27" bestFit="1" customWidth="1"/>
    <col min="11" max="11" width="25.33203125" style="30" customWidth="1"/>
  </cols>
  <sheetData>
    <row r="1" spans="1:62" ht="17.399999999999999" x14ac:dyDescent="0.3">
      <c r="A1" s="69" t="s">
        <v>139</v>
      </c>
      <c r="B1" s="70"/>
      <c r="C1" s="71"/>
      <c r="D1" s="71"/>
      <c r="E1" s="71"/>
      <c r="F1" s="71"/>
      <c r="G1" s="72"/>
    </row>
    <row r="2" spans="1:62" ht="15.6" x14ac:dyDescent="0.3">
      <c r="A2" s="73" t="s">
        <v>145</v>
      </c>
      <c r="B2" s="74"/>
      <c r="C2" s="75"/>
      <c r="D2" s="75"/>
      <c r="E2" s="75"/>
      <c r="F2" s="75"/>
      <c r="G2" s="76"/>
      <c r="J2" s="43" t="s">
        <v>189</v>
      </c>
      <c r="K2" s="44" t="str">
        <f>"INV-" &amp; TEXT(COUNTA(TableInvoices[Invoice_ID]) + 1, "0000")</f>
        <v>INV-0007</v>
      </c>
    </row>
    <row r="3" spans="1:62" ht="15.6" x14ac:dyDescent="0.3">
      <c r="A3" s="77" t="s">
        <v>140</v>
      </c>
      <c r="B3" s="78"/>
      <c r="C3" s="78"/>
      <c r="D3" s="78"/>
      <c r="E3" s="78"/>
      <c r="F3" s="78"/>
      <c r="G3" s="79"/>
      <c r="J3" s="40" t="s">
        <v>133</v>
      </c>
      <c r="K3" s="49"/>
      <c r="L3" t="s">
        <v>164</v>
      </c>
      <c r="M3" t="s">
        <v>164</v>
      </c>
      <c r="N3" t="s">
        <v>164</v>
      </c>
      <c r="O3" t="s">
        <v>164</v>
      </c>
      <c r="P3" t="s">
        <v>164</v>
      </c>
      <c r="Q3" t="s">
        <v>164</v>
      </c>
      <c r="R3" t="s">
        <v>164</v>
      </c>
      <c r="S3" t="s">
        <v>164</v>
      </c>
      <c r="T3" t="s">
        <v>164</v>
      </c>
      <c r="U3" t="s">
        <v>164</v>
      </c>
      <c r="V3" t="s">
        <v>164</v>
      </c>
      <c r="W3" t="s">
        <v>164</v>
      </c>
      <c r="X3" t="s">
        <v>164</v>
      </c>
      <c r="Y3" t="s">
        <v>164</v>
      </c>
      <c r="Z3" t="s">
        <v>164</v>
      </c>
      <c r="AD3" t="str" cm="1">
        <f t="array" ref="AD3:AO3">TRANSPOSE(_xlfn._xlws.SORT(_xlfn.UNIQUE(_xlfn._xlws.FILTER(TableAccounts[Account_Name],ISNUMBER(SEARCH($K$3,TableAccounts[Account_Name])),"Not Found"))))</f>
        <v>ABRAR C2</v>
      </c>
      <c r="AE3" t="str">
        <v>ANSAR C2</v>
      </c>
      <c r="AF3" t="str">
        <v>Bank</v>
      </c>
      <c r="AG3" t="str">
        <v>Cash</v>
      </c>
      <c r="AH3" t="str">
        <v>EXPENSES</v>
      </c>
      <c r="AI3" t="str">
        <v>GPS CHAK 54P</v>
      </c>
      <c r="AJ3" t="str">
        <v>Input Tax</v>
      </c>
      <c r="AK3" t="str">
        <v>MEHNAZ T</v>
      </c>
      <c r="AL3" t="str">
        <v>OTHERS</v>
      </c>
      <c r="AM3" t="str">
        <v>Purchase</v>
      </c>
      <c r="AN3" t="str">
        <v>Sales Revenue</v>
      </c>
      <c r="AO3" t="str">
        <v>Sales Tax Payable</v>
      </c>
    </row>
    <row r="4" spans="1:62" ht="14.4" customHeight="1" x14ac:dyDescent="0.3">
      <c r="A4" s="80"/>
      <c r="B4" s="81"/>
      <c r="C4" s="82"/>
      <c r="D4" s="82"/>
      <c r="E4" s="82"/>
      <c r="F4" s="82"/>
      <c r="G4" s="83"/>
      <c r="J4" s="40" t="s">
        <v>134</v>
      </c>
      <c r="K4" s="45" t="str">
        <f>IFERROR(VLOOKUP(K3,TableAccounts[[Account_Name]:[Current_Balance]],4,0),"-")</f>
        <v>-</v>
      </c>
      <c r="Z4" t="s">
        <v>164</v>
      </c>
    </row>
    <row r="5" spans="1:62" ht="14.4" customHeight="1" x14ac:dyDescent="0.3">
      <c r="A5" s="84" t="s">
        <v>146</v>
      </c>
      <c r="B5" s="85"/>
      <c r="C5" s="86"/>
      <c r="D5" s="86"/>
      <c r="E5" s="86"/>
      <c r="F5" s="86"/>
      <c r="G5" s="87"/>
      <c r="J5" s="40" t="s">
        <v>147</v>
      </c>
      <c r="K5" s="45" t="str">
        <f>IFERROR(VLOOKUP(K3,TableAccounts[[Account_Name]:[Current_Balance]],3,0),"-")</f>
        <v>-</v>
      </c>
      <c r="Z5" t="s">
        <v>164</v>
      </c>
    </row>
    <row r="6" spans="1:62" ht="14.4" customHeight="1" x14ac:dyDescent="0.3">
      <c r="A6" s="12" t="s">
        <v>141</v>
      </c>
      <c r="B6" s="37" t="str">
        <f>K2</f>
        <v>INV-0007</v>
      </c>
      <c r="C6" s="13"/>
      <c r="E6" s="14"/>
      <c r="F6" s="38" t="s">
        <v>180</v>
      </c>
      <c r="G6" s="24">
        <f ca="1">TODAY()</f>
        <v>46252</v>
      </c>
      <c r="J6" s="40" t="s">
        <v>148</v>
      </c>
      <c r="K6" s="45" t="str">
        <f>IFERROR(VLOOKUP(K3,TableAccounts[[Account_Name]:[Current_Balance]],10,0),"-")</f>
        <v>-</v>
      </c>
      <c r="Z6" t="s">
        <v>164</v>
      </c>
    </row>
    <row r="7" spans="1:62" x14ac:dyDescent="0.3">
      <c r="A7" s="12" t="s">
        <v>133</v>
      </c>
      <c r="B7" s="88">
        <f>K3</f>
        <v>0</v>
      </c>
      <c r="C7" s="88"/>
      <c r="D7" s="88"/>
      <c r="E7" s="88"/>
      <c r="F7" s="88"/>
      <c r="G7" s="15"/>
      <c r="J7" s="40" t="s">
        <v>165</v>
      </c>
      <c r="K7" s="46" t="str">
        <f>_xlfn.XLOOKUP(K3,TableAccounts[Account_Name],TableAccounts[Account_ID],"-",0,1)</f>
        <v>-</v>
      </c>
      <c r="Z7" t="s">
        <v>164</v>
      </c>
    </row>
    <row r="8" spans="1:62" x14ac:dyDescent="0.3">
      <c r="A8" s="12" t="s">
        <v>134</v>
      </c>
      <c r="B8" s="68" t="str">
        <f>K4</f>
        <v>-</v>
      </c>
      <c r="C8" s="68"/>
      <c r="D8" s="68"/>
      <c r="E8" s="68"/>
      <c r="F8" s="68"/>
      <c r="G8" s="16"/>
      <c r="J8" s="40"/>
      <c r="K8" s="41"/>
      <c r="Z8" t="s">
        <v>164</v>
      </c>
    </row>
    <row r="9" spans="1:62" x14ac:dyDescent="0.3">
      <c r="A9" s="17" t="s">
        <v>142</v>
      </c>
      <c r="B9" s="25" t="s">
        <v>7</v>
      </c>
      <c r="C9" s="18" t="s">
        <v>135</v>
      </c>
      <c r="D9" s="18" t="s">
        <v>18</v>
      </c>
      <c r="E9" s="18" t="s">
        <v>144</v>
      </c>
      <c r="F9" s="18" t="s">
        <v>132</v>
      </c>
      <c r="G9" s="19" t="s">
        <v>136</v>
      </c>
      <c r="J9" s="40" t="s">
        <v>152</v>
      </c>
      <c r="K9" s="49"/>
      <c r="L9" t="s">
        <v>164</v>
      </c>
      <c r="M9" t="s">
        <v>164</v>
      </c>
      <c r="N9" t="s">
        <v>164</v>
      </c>
      <c r="O9" t="s">
        <v>164</v>
      </c>
      <c r="P9" t="s">
        <v>164</v>
      </c>
      <c r="Q9" t="s">
        <v>164</v>
      </c>
      <c r="R9" t="s">
        <v>164</v>
      </c>
      <c r="S9" t="s">
        <v>164</v>
      </c>
      <c r="T9" t="s">
        <v>164</v>
      </c>
      <c r="U9" t="s">
        <v>164</v>
      </c>
      <c r="V9" t="s">
        <v>164</v>
      </c>
      <c r="Z9" t="s">
        <v>164</v>
      </c>
      <c r="AD9" t="str" cm="1">
        <f t="array" ref="AD9:BJ9">TRANSPOSE(_xlfn._xlws.SORT(_xlfn.UNIQUE(_xlfn._xlws.FILTER(TableServices[Service_Name],ISNUMBER(SEARCH($K$9,TableServices[Service_Name])),"Not Found"))))</f>
        <v>B Form Normal</v>
      </c>
      <c r="AE9" t="str">
        <v>B Form Urgent</v>
      </c>
      <c r="AF9" t="str">
        <v>Biomatric Verification</v>
      </c>
      <c r="AG9" t="str">
        <v>Birth Certificate 01-10</v>
      </c>
      <c r="AH9" t="str">
        <v>Birth Certificate 10-15</v>
      </c>
      <c r="AI9" t="str">
        <v>Birth Certificate 15-18</v>
      </c>
      <c r="AJ9" t="str">
        <v>Birth Certificate 18-30</v>
      </c>
      <c r="AK9" t="str">
        <v>CNIC Cancilation</v>
      </c>
      <c r="AL9" t="str">
        <v>CNIC Exective</v>
      </c>
      <c r="AM9" t="str">
        <v>CNIC Montly</v>
      </c>
      <c r="AN9" t="str">
        <v>CNIC Urgent</v>
      </c>
      <c r="AO9" t="str">
        <v>Death Certificate</v>
      </c>
      <c r="AP9" t="str">
        <v>Divorce Certificate</v>
      </c>
      <c r="AQ9" t="str">
        <v>Document Compoisition</v>
      </c>
      <c r="AR9" t="str">
        <v>Easypesa</v>
      </c>
      <c r="AS9" t="str">
        <v>FRC</v>
      </c>
      <c r="AT9" t="str">
        <v>Inspection fee</v>
      </c>
      <c r="AU9" t="str">
        <v>Jazz Cash</v>
      </c>
      <c r="AV9" t="str">
        <v>Marriage Certificate Mus.</v>
      </c>
      <c r="AW9" t="str">
        <v>Marriage Certificate Non Mus.</v>
      </c>
      <c r="AX9" t="str">
        <v>Misc. Expenses</v>
      </c>
      <c r="AY9" t="str">
        <v>Photostate BW</v>
      </c>
      <c r="AZ9" t="str">
        <v>Photostate Color</v>
      </c>
      <c r="BA9" t="str">
        <v>Print BW</v>
      </c>
      <c r="BB9" t="str">
        <v>Print Color</v>
      </c>
      <c r="BC9" t="str">
        <v>Service PKR 100</v>
      </c>
      <c r="BD9" t="str">
        <v>Service PKR 1000</v>
      </c>
      <c r="BE9" t="str">
        <v>Service PKR 200</v>
      </c>
      <c r="BF9" t="str">
        <v>Service PKR 300</v>
      </c>
      <c r="BG9" t="str">
        <v>Service PKR 50</v>
      </c>
      <c r="BH9" t="str">
        <v>Service PKR 500</v>
      </c>
      <c r="BI9" t="str">
        <v>Train Tickets</v>
      </c>
      <c r="BJ9" t="str">
        <v>Transfer Motor Vehile</v>
      </c>
    </row>
    <row r="10" spans="1:62" x14ac:dyDescent="0.3">
      <c r="A10" s="34"/>
      <c r="B10" s="29"/>
      <c r="C10" s="35"/>
      <c r="D10" s="35"/>
      <c r="E10" s="35"/>
      <c r="F10" s="35"/>
      <c r="G10" s="36" t="str">
        <f>IF(C10&gt;0,C10*D10-E10+F10,"")</f>
        <v/>
      </c>
      <c r="J10" s="40" t="s">
        <v>166</v>
      </c>
      <c r="K10" s="47" t="str">
        <f>IF(Invoice_Entry!K9&gt;0,VLOOKUP($K$9,TableServices[[Service_Name]:[Tax_Applicable]],2,0),"-")</f>
        <v>-</v>
      </c>
      <c r="V10" t="s">
        <v>164</v>
      </c>
      <c r="Z10" t="s">
        <v>164</v>
      </c>
    </row>
    <row r="11" spans="1:62" x14ac:dyDescent="0.3">
      <c r="A11" s="34"/>
      <c r="B11" s="29"/>
      <c r="C11" s="35"/>
      <c r="D11" s="35"/>
      <c r="E11" s="35"/>
      <c r="F11" s="35"/>
      <c r="G11" s="36" t="str">
        <f t="shared" ref="G11:G14" si="0">IF(C11&gt;0,C11*D11-E11+F11,"")</f>
        <v/>
      </c>
      <c r="J11" s="40" t="s">
        <v>153</v>
      </c>
      <c r="K11" s="49"/>
      <c r="V11" t="s">
        <v>164</v>
      </c>
      <c r="Z11" t="s">
        <v>164</v>
      </c>
    </row>
    <row r="12" spans="1:62" x14ac:dyDescent="0.3">
      <c r="A12" s="34"/>
      <c r="B12" s="29"/>
      <c r="C12" s="35"/>
      <c r="D12" s="35"/>
      <c r="E12" s="35"/>
      <c r="F12" s="35"/>
      <c r="G12" s="36" t="str">
        <f t="shared" si="0"/>
        <v/>
      </c>
      <c r="J12" s="40" t="s">
        <v>149</v>
      </c>
      <c r="K12" s="50"/>
      <c r="V12" t="s">
        <v>164</v>
      </c>
      <c r="Z12" t="s">
        <v>164</v>
      </c>
    </row>
    <row r="13" spans="1:62" x14ac:dyDescent="0.3">
      <c r="A13" s="34"/>
      <c r="B13" s="29"/>
      <c r="C13" s="35"/>
      <c r="D13" s="35"/>
      <c r="E13" s="35"/>
      <c r="F13" s="35"/>
      <c r="G13" s="36" t="str">
        <f t="shared" si="0"/>
        <v/>
      </c>
      <c r="J13" s="40" t="s">
        <v>143</v>
      </c>
      <c r="K13" s="49"/>
      <c r="V13" t="s">
        <v>164</v>
      </c>
      <c r="Z13" t="s">
        <v>164</v>
      </c>
    </row>
    <row r="14" spans="1:62" x14ac:dyDescent="0.3">
      <c r="A14" s="34"/>
      <c r="B14" s="29"/>
      <c r="C14" s="35"/>
      <c r="D14" s="35"/>
      <c r="E14" s="35"/>
      <c r="F14" s="35"/>
      <c r="G14" s="36" t="str">
        <f t="shared" si="0"/>
        <v/>
      </c>
      <c r="J14" s="40" t="s">
        <v>137</v>
      </c>
      <c r="K14" s="48"/>
      <c r="V14" t="s">
        <v>164</v>
      </c>
      <c r="Z14" t="s">
        <v>164</v>
      </c>
    </row>
    <row r="15" spans="1:62" x14ac:dyDescent="0.3">
      <c r="A15" s="20"/>
      <c r="B15" s="26"/>
      <c r="C15" s="22"/>
      <c r="D15" s="22"/>
      <c r="E15" s="22"/>
      <c r="F15" s="22"/>
      <c r="G15" s="23"/>
      <c r="J15" s="40"/>
      <c r="K15" s="41"/>
      <c r="V15" t="s">
        <v>164</v>
      </c>
      <c r="Z15" t="s">
        <v>164</v>
      </c>
    </row>
    <row r="16" spans="1:62" x14ac:dyDescent="0.3">
      <c r="A16" s="89" t="s">
        <v>155</v>
      </c>
      <c r="B16" s="90"/>
      <c r="C16" s="90"/>
      <c r="D16" s="90"/>
      <c r="E16" s="90"/>
      <c r="F16" s="90"/>
      <c r="G16" s="21">
        <f>C10*D10+C11*D11+C12*D12+C13*D13+C14*D14</f>
        <v>0</v>
      </c>
      <c r="J16" s="40" t="s">
        <v>150</v>
      </c>
      <c r="K16" s="41" t="s">
        <v>167</v>
      </c>
      <c r="V16" t="s">
        <v>164</v>
      </c>
      <c r="Z16" t="s">
        <v>164</v>
      </c>
    </row>
    <row r="17" spans="1:26" x14ac:dyDescent="0.3">
      <c r="A17" s="89" t="s">
        <v>137</v>
      </c>
      <c r="B17" s="90"/>
      <c r="C17" s="90"/>
      <c r="D17" s="90"/>
      <c r="E17" s="90"/>
      <c r="F17" s="90"/>
      <c r="G17" s="21">
        <f>SUM(F10:F14)</f>
        <v>0</v>
      </c>
      <c r="J17" s="40" t="s">
        <v>151</v>
      </c>
      <c r="K17" s="41" t="s">
        <v>170</v>
      </c>
      <c r="V17" t="s">
        <v>164</v>
      </c>
      <c r="Z17" t="s">
        <v>164</v>
      </c>
    </row>
    <row r="18" spans="1:26" x14ac:dyDescent="0.3">
      <c r="A18" s="89" t="s">
        <v>143</v>
      </c>
      <c r="B18" s="90"/>
      <c r="C18" s="90"/>
      <c r="D18" s="90"/>
      <c r="E18" s="90"/>
      <c r="F18" s="90"/>
      <c r="G18" s="21">
        <f>SUM(E10:E14)</f>
        <v>0</v>
      </c>
      <c r="J18" s="40" t="s">
        <v>154</v>
      </c>
      <c r="K18" s="42" t="str">
        <f>IF(K17="Un-paid",G6+30," - ")</f>
        <v xml:space="preserve"> - </v>
      </c>
      <c r="V18" t="s">
        <v>164</v>
      </c>
      <c r="Z18" t="s">
        <v>164</v>
      </c>
    </row>
    <row r="19" spans="1:26" x14ac:dyDescent="0.3">
      <c r="A19" s="89" t="s">
        <v>138</v>
      </c>
      <c r="B19" s="90"/>
      <c r="C19" s="90"/>
      <c r="D19" s="90"/>
      <c r="E19" s="90"/>
      <c r="F19" s="90"/>
      <c r="G19" s="21">
        <f>G16+G17-G18</f>
        <v>0</v>
      </c>
      <c r="V19" t="s">
        <v>164</v>
      </c>
      <c r="Z19" t="s">
        <v>164</v>
      </c>
    </row>
    <row r="20" spans="1:26" x14ac:dyDescent="0.3">
      <c r="A20" s="91" t="s">
        <v>175</v>
      </c>
      <c r="B20" s="92"/>
      <c r="C20" s="93"/>
      <c r="D20" s="93"/>
      <c r="E20" s="93"/>
      <c r="F20" s="93"/>
      <c r="G20" s="94"/>
      <c r="V20" t="s">
        <v>164</v>
      </c>
      <c r="Z20" t="s">
        <v>164</v>
      </c>
    </row>
    <row r="21" spans="1:26" ht="15" thickBot="1" x14ac:dyDescent="0.35">
      <c r="A21" s="95"/>
      <c r="B21" s="96"/>
      <c r="C21" s="96"/>
      <c r="D21" s="96"/>
      <c r="E21" s="96"/>
      <c r="F21" s="96"/>
      <c r="G21" s="97"/>
      <c r="V21" t="s">
        <v>164</v>
      </c>
      <c r="Z21" t="s">
        <v>164</v>
      </c>
    </row>
    <row r="22" spans="1:26" x14ac:dyDescent="0.3">
      <c r="V22" t="s">
        <v>164</v>
      </c>
      <c r="Z22" t="s">
        <v>164</v>
      </c>
    </row>
    <row r="23" spans="1:26" x14ac:dyDescent="0.3">
      <c r="I23" s="8" t="s">
        <v>156</v>
      </c>
      <c r="J23" s="9" t="s">
        <v>157</v>
      </c>
      <c r="K23" s="9" t="s">
        <v>158</v>
      </c>
      <c r="L23" s="9" t="s">
        <v>159</v>
      </c>
      <c r="M23" s="9" t="s">
        <v>160</v>
      </c>
      <c r="N23" s="9" t="s">
        <v>132</v>
      </c>
      <c r="O23" s="9" t="s">
        <v>144</v>
      </c>
      <c r="P23" s="9" t="s">
        <v>161</v>
      </c>
      <c r="Q23" s="9" t="s">
        <v>162</v>
      </c>
      <c r="R23" s="9" t="s">
        <v>121</v>
      </c>
      <c r="S23" s="10" t="s">
        <v>163</v>
      </c>
      <c r="V23" t="s">
        <v>164</v>
      </c>
      <c r="Z23" t="s">
        <v>164</v>
      </c>
    </row>
    <row r="24" spans="1:26" x14ac:dyDescent="0.3">
      <c r="I24" s="11" t="str">
        <f>B6</f>
        <v>INV-0007</v>
      </c>
      <c r="J24" s="31">
        <f ca="1">G6</f>
        <v>46252</v>
      </c>
      <c r="K24" s="30">
        <f>K3</f>
        <v>0</v>
      </c>
      <c r="L24" t="str">
        <f>+K7</f>
        <v>-</v>
      </c>
      <c r="M24" s="32">
        <f>G16</f>
        <v>0</v>
      </c>
      <c r="N24" s="32">
        <f>+G17</f>
        <v>0</v>
      </c>
      <c r="O24" s="32">
        <f>+G18</f>
        <v>0</v>
      </c>
      <c r="P24" s="33">
        <f>+G19</f>
        <v>0</v>
      </c>
      <c r="Q24" t="str">
        <f>+K16</f>
        <v>Cash</v>
      </c>
      <c r="R24" t="str">
        <f>+K17</f>
        <v>Paid</v>
      </c>
      <c r="S24" s="28" t="str">
        <f>+K18</f>
        <v xml:space="preserve"> - </v>
      </c>
      <c r="V24" t="s">
        <v>164</v>
      </c>
      <c r="Z24" t="s">
        <v>164</v>
      </c>
    </row>
    <row r="25" spans="1:26" x14ac:dyDescent="0.3">
      <c r="J25"/>
      <c r="K25"/>
      <c r="V25" t="s">
        <v>164</v>
      </c>
      <c r="Z25" t="s">
        <v>164</v>
      </c>
    </row>
    <row r="26" spans="1:26" x14ac:dyDescent="0.3">
      <c r="J26"/>
      <c r="K26"/>
      <c r="V26" t="s">
        <v>164</v>
      </c>
      <c r="Z26" t="s">
        <v>164</v>
      </c>
    </row>
    <row r="27" spans="1:26" x14ac:dyDescent="0.3">
      <c r="V27" t="s">
        <v>164</v>
      </c>
      <c r="Z27" t="s">
        <v>164</v>
      </c>
    </row>
    <row r="28" spans="1:26" x14ac:dyDescent="0.3">
      <c r="V28" t="s">
        <v>164</v>
      </c>
      <c r="Z28" t="s">
        <v>164</v>
      </c>
    </row>
    <row r="29" spans="1:26" x14ac:dyDescent="0.3">
      <c r="J29"/>
      <c r="K29"/>
      <c r="V29" t="s">
        <v>164</v>
      </c>
      <c r="Z29" t="s">
        <v>164</v>
      </c>
    </row>
    <row r="30" spans="1:26" x14ac:dyDescent="0.3">
      <c r="J30"/>
      <c r="K30"/>
      <c r="V30" t="s">
        <v>164</v>
      </c>
      <c r="Z30" t="s">
        <v>164</v>
      </c>
    </row>
    <row r="31" spans="1:26" x14ac:dyDescent="0.3">
      <c r="V31" t="s">
        <v>164</v>
      </c>
      <c r="Z31" t="s">
        <v>164</v>
      </c>
    </row>
    <row r="32" spans="1:26" x14ac:dyDescent="0.3">
      <c r="V32" t="s">
        <v>164</v>
      </c>
      <c r="Z32" t="s">
        <v>164</v>
      </c>
    </row>
    <row r="33" spans="11:26" x14ac:dyDescent="0.3">
      <c r="V33" t="s">
        <v>164</v>
      </c>
      <c r="Z33" t="s">
        <v>164</v>
      </c>
    </row>
    <row r="34" spans="11:26" x14ac:dyDescent="0.3">
      <c r="V34" t="s">
        <v>164</v>
      </c>
      <c r="Z34" t="s">
        <v>164</v>
      </c>
    </row>
    <row r="35" spans="11:26" x14ac:dyDescent="0.3">
      <c r="V35" t="s">
        <v>164</v>
      </c>
      <c r="Z35" t="s">
        <v>164</v>
      </c>
    </row>
    <row r="36" spans="11:26" x14ac:dyDescent="0.3">
      <c r="V36" t="s">
        <v>164</v>
      </c>
      <c r="Z36" t="s">
        <v>164</v>
      </c>
    </row>
    <row r="37" spans="11:26" x14ac:dyDescent="0.3">
      <c r="V37" t="s">
        <v>164</v>
      </c>
      <c r="Z37" t="s">
        <v>164</v>
      </c>
    </row>
    <row r="38" spans="11:26" x14ac:dyDescent="0.3">
      <c r="V38" t="s">
        <v>164</v>
      </c>
      <c r="Z38" t="s">
        <v>164</v>
      </c>
    </row>
    <row r="39" spans="11:26" x14ac:dyDescent="0.3">
      <c r="K39" t="s">
        <v>164</v>
      </c>
      <c r="L39" t="s">
        <v>164</v>
      </c>
      <c r="M39" t="s">
        <v>164</v>
      </c>
      <c r="N39" t="s">
        <v>164</v>
      </c>
      <c r="O39" t="s">
        <v>164</v>
      </c>
      <c r="P39" t="s">
        <v>164</v>
      </c>
      <c r="Q39" t="s">
        <v>164</v>
      </c>
      <c r="R39" t="s">
        <v>164</v>
      </c>
      <c r="S39" t="s">
        <v>164</v>
      </c>
      <c r="T39" t="s">
        <v>164</v>
      </c>
      <c r="U39" t="s">
        <v>164</v>
      </c>
      <c r="V39" t="s">
        <v>164</v>
      </c>
      <c r="W39" t="s">
        <v>164</v>
      </c>
      <c r="X39" t="s">
        <v>164</v>
      </c>
      <c r="Y39" t="s">
        <v>164</v>
      </c>
      <c r="Z39" t="s">
        <v>164</v>
      </c>
    </row>
    <row r="40" spans="11:26" x14ac:dyDescent="0.3">
      <c r="K40" t="s">
        <v>164</v>
      </c>
      <c r="V40" t="s">
        <v>164</v>
      </c>
    </row>
    <row r="41" spans="11:26" x14ac:dyDescent="0.3">
      <c r="K41" t="s">
        <v>164</v>
      </c>
      <c r="V41" t="s">
        <v>164</v>
      </c>
    </row>
    <row r="42" spans="11:26" x14ac:dyDescent="0.3">
      <c r="K42" t="s">
        <v>164</v>
      </c>
      <c r="V42" t="s">
        <v>164</v>
      </c>
    </row>
    <row r="43" spans="11:26" x14ac:dyDescent="0.3">
      <c r="K43" t="s">
        <v>164</v>
      </c>
      <c r="V43" t="s">
        <v>164</v>
      </c>
    </row>
    <row r="44" spans="11:26" x14ac:dyDescent="0.3">
      <c r="K44" t="str" cm="1">
        <f t="array" ref="K44:K55">_xlfn.UNIQUE(TableAccounts[Account_Name],FALSE,TRUE)</f>
        <v>ANSAR C2</v>
      </c>
      <c r="V44" t="s">
        <v>164</v>
      </c>
    </row>
    <row r="45" spans="11:26" x14ac:dyDescent="0.3">
      <c r="K45" t="str">
        <v>ABRAR C2</v>
      </c>
      <c r="V45" t="s">
        <v>164</v>
      </c>
    </row>
    <row r="46" spans="11:26" x14ac:dyDescent="0.3">
      <c r="K46" t="str">
        <v>MEHNAZ T</v>
      </c>
      <c r="V46" t="s">
        <v>164</v>
      </c>
    </row>
    <row r="47" spans="11:26" x14ac:dyDescent="0.3">
      <c r="K47" t="str">
        <v>OTHERS</v>
      </c>
      <c r="V47" t="s">
        <v>164</v>
      </c>
    </row>
    <row r="48" spans="11:26" x14ac:dyDescent="0.3">
      <c r="K48" t="str">
        <v>EXPENSES</v>
      </c>
      <c r="V48" t="s">
        <v>164</v>
      </c>
    </row>
    <row r="49" spans="11:22" x14ac:dyDescent="0.3">
      <c r="K49" t="str">
        <v>GPS CHAK 54P</v>
      </c>
      <c r="V49" t="s">
        <v>164</v>
      </c>
    </row>
    <row r="50" spans="11:22" x14ac:dyDescent="0.3">
      <c r="K50" s="30" t="str">
        <v>Cash</v>
      </c>
      <c r="V50" t="s">
        <v>164</v>
      </c>
    </row>
    <row r="51" spans="11:22" x14ac:dyDescent="0.3">
      <c r="K51" s="30" t="str">
        <v>Bank</v>
      </c>
      <c r="V51" t="s">
        <v>164</v>
      </c>
    </row>
    <row r="52" spans="11:22" x14ac:dyDescent="0.3">
      <c r="K52" s="30" t="str">
        <v>Sales Tax Payable</v>
      </c>
      <c r="V52" t="s">
        <v>164</v>
      </c>
    </row>
    <row r="53" spans="11:22" x14ac:dyDescent="0.3">
      <c r="K53" s="30" t="str">
        <v>Input Tax</v>
      </c>
      <c r="V53" t="s">
        <v>164</v>
      </c>
    </row>
    <row r="54" spans="11:22" x14ac:dyDescent="0.3">
      <c r="K54" s="30" t="str">
        <v>Sales Revenue</v>
      </c>
      <c r="V54" t="s">
        <v>164</v>
      </c>
    </row>
    <row r="55" spans="11:22" x14ac:dyDescent="0.3">
      <c r="K55" s="30" t="str">
        <v>Purchase</v>
      </c>
      <c r="V55" t="s">
        <v>164</v>
      </c>
    </row>
    <row r="56" spans="11:22" x14ac:dyDescent="0.3">
      <c r="V56" t="s">
        <v>164</v>
      </c>
    </row>
    <row r="57" spans="11:22" x14ac:dyDescent="0.3">
      <c r="V57" t="s">
        <v>164</v>
      </c>
    </row>
    <row r="58" spans="11:22" x14ac:dyDescent="0.3">
      <c r="V58" t="s">
        <v>164</v>
      </c>
    </row>
    <row r="59" spans="11:22" x14ac:dyDescent="0.3">
      <c r="V59" t="s">
        <v>164</v>
      </c>
    </row>
    <row r="60" spans="11:22" x14ac:dyDescent="0.3">
      <c r="V60" t="s">
        <v>164</v>
      </c>
    </row>
    <row r="61" spans="11:22" x14ac:dyDescent="0.3">
      <c r="V61" t="s">
        <v>164</v>
      </c>
    </row>
    <row r="62" spans="11:22" x14ac:dyDescent="0.3">
      <c r="V62" t="s">
        <v>164</v>
      </c>
    </row>
    <row r="63" spans="11:22" x14ac:dyDescent="0.3">
      <c r="V63" t="s">
        <v>164</v>
      </c>
    </row>
    <row r="64" spans="11:22" x14ac:dyDescent="0.3">
      <c r="V64" t="s">
        <v>164</v>
      </c>
    </row>
    <row r="65" spans="22:22" x14ac:dyDescent="0.3">
      <c r="V65" t="s">
        <v>164</v>
      </c>
    </row>
    <row r="66" spans="22:22" x14ac:dyDescent="0.3">
      <c r="V66" t="s">
        <v>164</v>
      </c>
    </row>
    <row r="67" spans="22:22" x14ac:dyDescent="0.3">
      <c r="V67" t="s">
        <v>164</v>
      </c>
    </row>
    <row r="68" spans="22:22" x14ac:dyDescent="0.3">
      <c r="V68" t="s">
        <v>164</v>
      </c>
    </row>
    <row r="69" spans="22:22" x14ac:dyDescent="0.3">
      <c r="V69" t="s">
        <v>164</v>
      </c>
    </row>
    <row r="70" spans="22:22" x14ac:dyDescent="0.3">
      <c r="V70" t="s">
        <v>164</v>
      </c>
    </row>
    <row r="71" spans="22:22" x14ac:dyDescent="0.3">
      <c r="V71" t="s">
        <v>164</v>
      </c>
    </row>
    <row r="72" spans="22:22" x14ac:dyDescent="0.3">
      <c r="V72" t="s">
        <v>164</v>
      </c>
    </row>
    <row r="73" spans="22:22" x14ac:dyDescent="0.3">
      <c r="V73" t="s">
        <v>164</v>
      </c>
    </row>
    <row r="74" spans="22:22" x14ac:dyDescent="0.3">
      <c r="V74" t="s">
        <v>164</v>
      </c>
    </row>
    <row r="75" spans="22:22" x14ac:dyDescent="0.3">
      <c r="V75" t="s">
        <v>164</v>
      </c>
    </row>
    <row r="76" spans="22:22" x14ac:dyDescent="0.3">
      <c r="V76" t="s">
        <v>164</v>
      </c>
    </row>
    <row r="77" spans="22:22" x14ac:dyDescent="0.3">
      <c r="V77" t="s">
        <v>164</v>
      </c>
    </row>
    <row r="78" spans="22:22" x14ac:dyDescent="0.3">
      <c r="V78" t="s">
        <v>164</v>
      </c>
    </row>
    <row r="79" spans="22:22" x14ac:dyDescent="0.3">
      <c r="V79" t="s">
        <v>164</v>
      </c>
    </row>
    <row r="80" spans="22:22" x14ac:dyDescent="0.3">
      <c r="V80" t="s">
        <v>164</v>
      </c>
    </row>
    <row r="81" spans="22:22" x14ac:dyDescent="0.3">
      <c r="V81" t="s">
        <v>164</v>
      </c>
    </row>
    <row r="82" spans="22:22" x14ac:dyDescent="0.3">
      <c r="V82" t="s">
        <v>164</v>
      </c>
    </row>
    <row r="83" spans="22:22" x14ac:dyDescent="0.3">
      <c r="V83" t="s">
        <v>164</v>
      </c>
    </row>
    <row r="84" spans="22:22" x14ac:dyDescent="0.3">
      <c r="V84" t="s">
        <v>164</v>
      </c>
    </row>
    <row r="85" spans="22:22" x14ac:dyDescent="0.3">
      <c r="V85" t="s">
        <v>164</v>
      </c>
    </row>
    <row r="86" spans="22:22" x14ac:dyDescent="0.3">
      <c r="V86" t="s">
        <v>164</v>
      </c>
    </row>
    <row r="87" spans="22:22" x14ac:dyDescent="0.3">
      <c r="V87" t="s">
        <v>164</v>
      </c>
    </row>
    <row r="88" spans="22:22" x14ac:dyDescent="0.3">
      <c r="V88" t="s">
        <v>164</v>
      </c>
    </row>
    <row r="89" spans="22:22" x14ac:dyDescent="0.3">
      <c r="V89" t="s">
        <v>164</v>
      </c>
    </row>
    <row r="90" spans="22:22" x14ac:dyDescent="0.3">
      <c r="V90" t="s">
        <v>164</v>
      </c>
    </row>
    <row r="91" spans="22:22" x14ac:dyDescent="0.3">
      <c r="V91" t="s">
        <v>164</v>
      </c>
    </row>
    <row r="92" spans="22:22" x14ac:dyDescent="0.3">
      <c r="V92" t="s">
        <v>164</v>
      </c>
    </row>
    <row r="93" spans="22:22" x14ac:dyDescent="0.3">
      <c r="V93" t="s">
        <v>164</v>
      </c>
    </row>
    <row r="94" spans="22:22" x14ac:dyDescent="0.3">
      <c r="V94" t="s">
        <v>164</v>
      </c>
    </row>
    <row r="95" spans="22:22" x14ac:dyDescent="0.3">
      <c r="V95" t="s">
        <v>164</v>
      </c>
    </row>
    <row r="96" spans="22:22" x14ac:dyDescent="0.3">
      <c r="V96" t="s">
        <v>164</v>
      </c>
    </row>
    <row r="97" spans="22:22" x14ac:dyDescent="0.3">
      <c r="V97" t="s">
        <v>164</v>
      </c>
    </row>
    <row r="98" spans="22:22" x14ac:dyDescent="0.3">
      <c r="V98" t="s">
        <v>164</v>
      </c>
    </row>
    <row r="99" spans="22:22" x14ac:dyDescent="0.3">
      <c r="V99" t="s">
        <v>164</v>
      </c>
    </row>
    <row r="100" spans="22:22" x14ac:dyDescent="0.3">
      <c r="V100" t="s">
        <v>164</v>
      </c>
    </row>
    <row r="101" spans="22:22" x14ac:dyDescent="0.3">
      <c r="V101" t="s">
        <v>164</v>
      </c>
    </row>
    <row r="102" spans="22:22" x14ac:dyDescent="0.3">
      <c r="V102" t="s">
        <v>164</v>
      </c>
    </row>
    <row r="103" spans="22:22" x14ac:dyDescent="0.3">
      <c r="V103" t="s">
        <v>164</v>
      </c>
    </row>
    <row r="104" spans="22:22" x14ac:dyDescent="0.3">
      <c r="V104" t="s">
        <v>164</v>
      </c>
    </row>
    <row r="105" spans="22:22" x14ac:dyDescent="0.3">
      <c r="V105" t="s">
        <v>164</v>
      </c>
    </row>
    <row r="106" spans="22:22" x14ac:dyDescent="0.3">
      <c r="V106" t="s">
        <v>164</v>
      </c>
    </row>
    <row r="107" spans="22:22" x14ac:dyDescent="0.3">
      <c r="V107" t="s">
        <v>164</v>
      </c>
    </row>
    <row r="108" spans="22:22" x14ac:dyDescent="0.3">
      <c r="V108" t="s">
        <v>164</v>
      </c>
    </row>
    <row r="109" spans="22:22" x14ac:dyDescent="0.3">
      <c r="V109" t="s">
        <v>164</v>
      </c>
    </row>
    <row r="110" spans="22:22" x14ac:dyDescent="0.3">
      <c r="V110" t="s">
        <v>164</v>
      </c>
    </row>
    <row r="111" spans="22:22" x14ac:dyDescent="0.3">
      <c r="V111" t="s">
        <v>164</v>
      </c>
    </row>
    <row r="112" spans="22:22" x14ac:dyDescent="0.3">
      <c r="V112" t="s">
        <v>164</v>
      </c>
    </row>
    <row r="113" spans="11:22" x14ac:dyDescent="0.3">
      <c r="V113" t="s">
        <v>164</v>
      </c>
    </row>
    <row r="114" spans="11:22" x14ac:dyDescent="0.3">
      <c r="V114" t="s">
        <v>164</v>
      </c>
    </row>
    <row r="115" spans="11:22" x14ac:dyDescent="0.3">
      <c r="V115" t="s">
        <v>164</v>
      </c>
    </row>
    <row r="116" spans="11:22" x14ac:dyDescent="0.3">
      <c r="K116" t="s">
        <v>164</v>
      </c>
      <c r="L116" t="s">
        <v>164</v>
      </c>
      <c r="M116" t="s">
        <v>164</v>
      </c>
      <c r="N116" t="s">
        <v>164</v>
      </c>
      <c r="O116" t="s">
        <v>164</v>
      </c>
      <c r="P116" t="s">
        <v>164</v>
      </c>
      <c r="Q116" t="s">
        <v>164</v>
      </c>
      <c r="R116" t="s">
        <v>164</v>
      </c>
      <c r="S116" t="s">
        <v>164</v>
      </c>
      <c r="T116" t="s">
        <v>164</v>
      </c>
      <c r="U116" t="s">
        <v>164</v>
      </c>
      <c r="V116" t="s">
        <v>164</v>
      </c>
    </row>
    <row r="117" spans="11:22" x14ac:dyDescent="0.3">
      <c r="K117" t="s">
        <v>164</v>
      </c>
    </row>
    <row r="118" spans="11:22" x14ac:dyDescent="0.3">
      <c r="K118" t="s">
        <v>164</v>
      </c>
    </row>
    <row r="119" spans="11:22" x14ac:dyDescent="0.3">
      <c r="K119" t="s">
        <v>164</v>
      </c>
    </row>
    <row r="120" spans="11:22" x14ac:dyDescent="0.3">
      <c r="K120" t="s">
        <v>164</v>
      </c>
    </row>
    <row r="121" spans="11:22" x14ac:dyDescent="0.3">
      <c r="K121" s="30" t="str" cm="1">
        <f t="array" ref="K121:K153">_xlfn.UNIQUE(TableServices[Service_Name],FALSE,TRUE)</f>
        <v>Photostate BW</v>
      </c>
    </row>
    <row r="122" spans="11:22" x14ac:dyDescent="0.3">
      <c r="K122" s="30" t="str">
        <v>Photostate Color</v>
      </c>
    </row>
    <row r="123" spans="11:22" x14ac:dyDescent="0.3">
      <c r="K123" s="30" t="str">
        <v>Print BW</v>
      </c>
    </row>
    <row r="124" spans="11:22" x14ac:dyDescent="0.3">
      <c r="K124" s="30" t="str">
        <v>Print Color</v>
      </c>
    </row>
    <row r="125" spans="11:22" x14ac:dyDescent="0.3">
      <c r="K125" s="30" t="str">
        <v>CNIC Montly</v>
      </c>
    </row>
    <row r="126" spans="11:22" x14ac:dyDescent="0.3">
      <c r="K126" s="30" t="str">
        <v>CNIC Urgent</v>
      </c>
    </row>
    <row r="127" spans="11:22" x14ac:dyDescent="0.3">
      <c r="K127" s="30" t="str">
        <v>CNIC Exective</v>
      </c>
    </row>
    <row r="128" spans="11:22" x14ac:dyDescent="0.3">
      <c r="K128" s="30" t="str">
        <v>B Form Normal</v>
      </c>
    </row>
    <row r="129" spans="11:11" x14ac:dyDescent="0.3">
      <c r="K129" s="30" t="str">
        <v>B Form Urgent</v>
      </c>
    </row>
    <row r="130" spans="11:11" x14ac:dyDescent="0.3">
      <c r="K130" s="30" t="str">
        <v>FRC</v>
      </c>
    </row>
    <row r="131" spans="11:11" x14ac:dyDescent="0.3">
      <c r="K131" s="30" t="str">
        <v>CNIC Cancilation</v>
      </c>
    </row>
    <row r="132" spans="11:11" x14ac:dyDescent="0.3">
      <c r="K132" s="30" t="str">
        <v>Document Compoisition</v>
      </c>
    </row>
    <row r="133" spans="11:11" x14ac:dyDescent="0.3">
      <c r="K133" s="30" t="str">
        <v>Birth Certificate 01-10</v>
      </c>
    </row>
    <row r="134" spans="11:11" x14ac:dyDescent="0.3">
      <c r="K134" s="30" t="str">
        <v>Birth Certificate 10-15</v>
      </c>
    </row>
    <row r="135" spans="11:11" x14ac:dyDescent="0.3">
      <c r="K135" s="30" t="str">
        <v>Birth Certificate 15-18</v>
      </c>
    </row>
    <row r="136" spans="11:11" x14ac:dyDescent="0.3">
      <c r="K136" s="30" t="str">
        <v>Birth Certificate 18-30</v>
      </c>
    </row>
    <row r="137" spans="11:11" x14ac:dyDescent="0.3">
      <c r="K137" s="30" t="str">
        <v>Marriage Certificate Mus.</v>
      </c>
    </row>
    <row r="138" spans="11:11" x14ac:dyDescent="0.3">
      <c r="K138" s="30" t="str">
        <v>Marriage Certificate Non Mus.</v>
      </c>
    </row>
    <row r="139" spans="11:11" x14ac:dyDescent="0.3">
      <c r="K139" s="30" t="str">
        <v>Divorce Certificate</v>
      </c>
    </row>
    <row r="140" spans="11:11" x14ac:dyDescent="0.3">
      <c r="K140" s="30" t="str">
        <v>Death Certificate</v>
      </c>
    </row>
    <row r="141" spans="11:11" x14ac:dyDescent="0.3">
      <c r="K141" s="30" t="str">
        <v>Service PKR 100</v>
      </c>
    </row>
    <row r="142" spans="11:11" x14ac:dyDescent="0.3">
      <c r="K142" s="30" t="str">
        <v>Service PKR 200</v>
      </c>
    </row>
    <row r="143" spans="11:11" x14ac:dyDescent="0.3">
      <c r="K143" s="30" t="str">
        <v>Service PKR 300</v>
      </c>
    </row>
    <row r="144" spans="11:11" x14ac:dyDescent="0.3">
      <c r="K144" s="30" t="str">
        <v>Service PKR 500</v>
      </c>
    </row>
    <row r="145" spans="11:11" x14ac:dyDescent="0.3">
      <c r="K145" s="30" t="str">
        <v>Service PKR 1000</v>
      </c>
    </row>
    <row r="146" spans="11:11" x14ac:dyDescent="0.3">
      <c r="K146" s="30" t="str">
        <v>Service PKR 50</v>
      </c>
    </row>
    <row r="147" spans="11:11" x14ac:dyDescent="0.3">
      <c r="K147" s="30" t="str">
        <v>Misc. Expenses</v>
      </c>
    </row>
    <row r="148" spans="11:11" x14ac:dyDescent="0.3">
      <c r="K148" s="30" t="str">
        <v>Transfer Motor Vehile</v>
      </c>
    </row>
    <row r="149" spans="11:11" x14ac:dyDescent="0.3">
      <c r="K149" s="30" t="str">
        <v>Biomatric Verification</v>
      </c>
    </row>
    <row r="150" spans="11:11" x14ac:dyDescent="0.3">
      <c r="K150" s="30" t="str">
        <v>Inspection fee</v>
      </c>
    </row>
    <row r="151" spans="11:11" x14ac:dyDescent="0.3">
      <c r="K151" s="30" t="str">
        <v>Jazz Cash</v>
      </c>
    </row>
    <row r="152" spans="11:11" x14ac:dyDescent="0.3">
      <c r="K152" s="30" t="str">
        <v>Easypesa</v>
      </c>
    </row>
    <row r="153" spans="11:11" x14ac:dyDescent="0.3">
      <c r="K153" s="30" t="str">
        <v>Train Tickets</v>
      </c>
    </row>
  </sheetData>
  <mergeCells count="12">
    <mergeCell ref="A1:G1"/>
    <mergeCell ref="A2:G2"/>
    <mergeCell ref="A3:G3"/>
    <mergeCell ref="A20:G21"/>
    <mergeCell ref="A4:G4"/>
    <mergeCell ref="A17:F17"/>
    <mergeCell ref="A18:F18"/>
    <mergeCell ref="A19:F19"/>
    <mergeCell ref="A5:G5"/>
    <mergeCell ref="B7:F7"/>
    <mergeCell ref="B8:F8"/>
    <mergeCell ref="A16:F16"/>
  </mergeCells>
  <dataValidations count="1">
    <dataValidation type="list" allowBlank="1" showInputMessage="1" sqref="K9 K3" xr:uid="{7BFCDA95-F2FC-4387-A027-050B90E4041A}">
      <formula1>_xlfn.ANCHORARRAY($AD3)</formula1>
    </dataValidation>
  </dataValidations>
  <pageMargins left="0.51" right="0.25" top="0.4" bottom="0.31" header="0.24" footer="0.16"/>
  <pageSetup paperSize="11" scale="115" orientation="landscape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DA9AA510-084C-49BF-94A3-3E99C9470711}">
          <x14:formula1>
            <xm:f>DB_Services!$A$2:$A$34</xm:f>
          </x14:formula1>
          <xm:sqref>K8</xm:sqref>
        </x14:dataValidation>
        <x14:dataValidation type="list" allowBlank="1" showInputMessage="1" showErrorMessage="1" xr:uid="{56920DB5-4B53-43F0-8DEE-BEA1E9F3BE42}">
          <x14:formula1>
            <xm:f>Drop_Down!$D$5:$D$7</xm:f>
          </x14:formula1>
          <xm:sqref>K16</xm:sqref>
        </x14:dataValidation>
        <x14:dataValidation type="list" allowBlank="1" showInputMessage="1" showErrorMessage="1" xr:uid="{07BF18E4-4C48-44F8-BB8E-56AD2A2C08B0}">
          <x14:formula1>
            <xm:f>Drop_Down!$G$5:$G$7</xm:f>
          </x14:formula1>
          <xm:sqref>K17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6D091-DCE0-426C-ADA1-67E958498FAF}">
  <sheetPr codeName="Sheet3"/>
  <dimension ref="A1:K7"/>
  <sheetViews>
    <sheetView workbookViewId="0">
      <selection activeCell="D4" sqref="D4"/>
    </sheetView>
  </sheetViews>
  <sheetFormatPr defaultRowHeight="14.4" x14ac:dyDescent="0.3"/>
  <cols>
    <col min="1" max="1" width="13.77734375" customWidth="1"/>
    <col min="2" max="2" width="22.88671875" customWidth="1"/>
    <col min="3" max="3" width="16.33203125" bestFit="1" customWidth="1"/>
    <col min="4" max="9" width="22.88671875" customWidth="1"/>
    <col min="10" max="11" width="18.6640625" bestFit="1" customWidth="1"/>
  </cols>
  <sheetData>
    <row r="1" spans="1:11" x14ac:dyDescent="0.3">
      <c r="A1" t="s">
        <v>129</v>
      </c>
      <c r="B1" t="s">
        <v>131</v>
      </c>
      <c r="C1" t="s">
        <v>22</v>
      </c>
      <c r="D1" t="s">
        <v>21</v>
      </c>
      <c r="E1" t="s">
        <v>11</v>
      </c>
      <c r="F1" t="s">
        <v>12</v>
      </c>
      <c r="G1" t="s">
        <v>13</v>
      </c>
      <c r="H1" t="s">
        <v>14</v>
      </c>
      <c r="I1" t="s">
        <v>117</v>
      </c>
      <c r="J1" t="s">
        <v>15</v>
      </c>
      <c r="K1" t="s">
        <v>16</v>
      </c>
    </row>
    <row r="2" spans="1:11" x14ac:dyDescent="0.3">
      <c r="A2" t="s">
        <v>178</v>
      </c>
      <c r="B2" t="s">
        <v>178</v>
      </c>
      <c r="C2" t="s">
        <v>178</v>
      </c>
      <c r="D2" t="s">
        <v>178</v>
      </c>
      <c r="E2" t="s">
        <v>178</v>
      </c>
      <c r="F2" t="s">
        <v>178</v>
      </c>
      <c r="G2" t="s">
        <v>178</v>
      </c>
      <c r="H2" t="s">
        <v>178</v>
      </c>
      <c r="I2" t="s">
        <v>178</v>
      </c>
      <c r="J2" t="s">
        <v>178</v>
      </c>
      <c r="K2" t="s">
        <v>178</v>
      </c>
    </row>
    <row r="3" spans="1:11" x14ac:dyDescent="0.3">
      <c r="A3" t="s">
        <v>179</v>
      </c>
      <c r="B3" s="28">
        <v>46250</v>
      </c>
      <c r="C3" t="s">
        <v>98</v>
      </c>
      <c r="D3" t="s">
        <v>128</v>
      </c>
      <c r="E3">
        <v>8700</v>
      </c>
      <c r="F3">
        <v>600</v>
      </c>
      <c r="G3">
        <v>1400</v>
      </c>
      <c r="H3">
        <v>7900</v>
      </c>
      <c r="I3" t="s">
        <v>167</v>
      </c>
      <c r="J3" t="s">
        <v>170</v>
      </c>
      <c r="K3" t="s">
        <v>104</v>
      </c>
    </row>
    <row r="4" spans="1:11" x14ac:dyDescent="0.3">
      <c r="A4" t="s">
        <v>181</v>
      </c>
      <c r="B4" s="28">
        <v>46251</v>
      </c>
      <c r="C4" t="s">
        <v>103</v>
      </c>
      <c r="D4" t="s">
        <v>104</v>
      </c>
      <c r="E4">
        <v>6300</v>
      </c>
      <c r="F4">
        <v>0</v>
      </c>
      <c r="G4">
        <v>300</v>
      </c>
      <c r="H4">
        <v>6000</v>
      </c>
      <c r="I4" t="s">
        <v>170</v>
      </c>
      <c r="J4" t="s">
        <v>182</v>
      </c>
      <c r="K4" t="s">
        <v>167</v>
      </c>
    </row>
    <row r="5" spans="1:11" x14ac:dyDescent="0.3">
      <c r="A5" t="s">
        <v>183</v>
      </c>
      <c r="B5" s="28">
        <v>46251</v>
      </c>
      <c r="C5" t="s">
        <v>100</v>
      </c>
      <c r="D5" t="s">
        <v>184</v>
      </c>
      <c r="E5">
        <v>3600</v>
      </c>
      <c r="F5">
        <v>0</v>
      </c>
      <c r="G5">
        <v>0</v>
      </c>
      <c r="H5">
        <v>3600</v>
      </c>
      <c r="I5" t="s">
        <v>167</v>
      </c>
      <c r="J5" t="s">
        <v>170</v>
      </c>
      <c r="K5" t="s">
        <v>182</v>
      </c>
    </row>
    <row r="6" spans="1:11" x14ac:dyDescent="0.3">
      <c r="A6" t="s">
        <v>185</v>
      </c>
      <c r="B6" s="28">
        <v>46251</v>
      </c>
      <c r="C6" t="s">
        <v>101</v>
      </c>
      <c r="D6" t="s">
        <v>186</v>
      </c>
      <c r="E6">
        <v>4400</v>
      </c>
      <c r="F6">
        <v>0</v>
      </c>
      <c r="G6">
        <v>0</v>
      </c>
      <c r="H6">
        <v>4400</v>
      </c>
      <c r="I6" t="s">
        <v>167</v>
      </c>
      <c r="J6" t="s">
        <v>170</v>
      </c>
      <c r="K6" t="s">
        <v>182</v>
      </c>
    </row>
    <row r="7" spans="1:11" x14ac:dyDescent="0.3">
      <c r="A7" t="s">
        <v>202</v>
      </c>
      <c r="B7" s="28">
        <v>46252</v>
      </c>
      <c r="C7" t="s">
        <v>103</v>
      </c>
      <c r="D7" t="s">
        <v>203</v>
      </c>
      <c r="E7">
        <v>900</v>
      </c>
      <c r="F7">
        <v>0</v>
      </c>
      <c r="G7">
        <v>0</v>
      </c>
      <c r="H7">
        <v>900</v>
      </c>
      <c r="I7" t="s">
        <v>167</v>
      </c>
      <c r="J7" t="s">
        <v>170</v>
      </c>
      <c r="K7" t="s">
        <v>182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44FFA-9E22-475E-A24E-7BC6A9F72717}">
  <sheetPr codeName="Sheet5"/>
  <dimension ref="A1:J13"/>
  <sheetViews>
    <sheetView workbookViewId="0">
      <selection activeCell="E12" sqref="E12"/>
    </sheetView>
  </sheetViews>
  <sheetFormatPr defaultRowHeight="14.4" x14ac:dyDescent="0.3"/>
  <cols>
    <col min="1" max="1" width="12.109375" bestFit="1" customWidth="1"/>
    <col min="2" max="2" width="12" bestFit="1" customWidth="1"/>
    <col min="3" max="3" width="15.33203125" bestFit="1" customWidth="1"/>
    <col min="4" max="4" width="12.6640625" bestFit="1" customWidth="1"/>
    <col min="5" max="6" width="12.109375" bestFit="1" customWidth="1"/>
    <col min="7" max="7" width="11.88671875" bestFit="1" customWidth="1"/>
    <col min="8" max="8" width="10.5546875" bestFit="1" customWidth="1"/>
    <col min="9" max="9" width="11.88671875" bestFit="1" customWidth="1"/>
    <col min="10" max="10" width="15.33203125" bestFit="1" customWidth="1"/>
    <col min="11" max="11" width="11.88671875" bestFit="1" customWidth="1"/>
  </cols>
  <sheetData>
    <row r="1" spans="1:10" x14ac:dyDescent="0.3">
      <c r="A1" t="s">
        <v>129</v>
      </c>
      <c r="B1" t="s">
        <v>5</v>
      </c>
      <c r="C1" t="s">
        <v>6</v>
      </c>
      <c r="D1" t="s">
        <v>7</v>
      </c>
      <c r="E1" t="s">
        <v>17</v>
      </c>
      <c r="F1" t="s">
        <v>9</v>
      </c>
      <c r="G1" t="s">
        <v>13</v>
      </c>
      <c r="H1" t="s">
        <v>132</v>
      </c>
      <c r="I1" t="s">
        <v>19</v>
      </c>
      <c r="J1" t="s">
        <v>188</v>
      </c>
    </row>
    <row r="2" spans="1:10" x14ac:dyDescent="0.3">
      <c r="A2" t="s">
        <v>178</v>
      </c>
      <c r="B2" t="str">
        <f>IF(TableInvoiceDetails[[#This Row],[Service_Name]]&gt;0,_xlfn.XLOOKUP(TableInvoiceDetails[[#This Row],[Service_Name]],TableServices[Service_Name],TableServices[Service_ID],"-",0,1),"")</f>
        <v>-</v>
      </c>
      <c r="C2" t="s">
        <v>178</v>
      </c>
      <c r="D2" t="s">
        <v>178</v>
      </c>
      <c r="E2" t="s">
        <v>178</v>
      </c>
      <c r="F2" t="s">
        <v>178</v>
      </c>
      <c r="G2" t="s">
        <v>178</v>
      </c>
      <c r="H2" t="s">
        <v>178</v>
      </c>
      <c r="I2" t="s">
        <v>178</v>
      </c>
      <c r="J2" t="str">
        <f>IFERROR(VLOOKUP(TableInvoiceDetails[[#This Row],[Service_ID]],TableServices[],6,0),"")</f>
        <v/>
      </c>
    </row>
    <row r="3" spans="1:10" x14ac:dyDescent="0.3">
      <c r="A3" t="s">
        <v>179</v>
      </c>
      <c r="B3" t="str">
        <f>IF(TableInvoiceDetails[[#This Row],[Service_Name]]&gt;0,_xlfn.XLOOKUP(TableInvoiceDetails[[#This Row],[Service_Name]],TableServices[Service_Name],TableServices[Service_ID],"-",0,1),"")</f>
        <v>SRV-0010</v>
      </c>
      <c r="C3" t="s">
        <v>32</v>
      </c>
      <c r="D3" t="s">
        <v>96</v>
      </c>
      <c r="E3">
        <v>2</v>
      </c>
      <c r="F3">
        <v>3000</v>
      </c>
      <c r="G3">
        <v>1000</v>
      </c>
      <c r="H3">
        <v>500</v>
      </c>
      <c r="I3">
        <v>5500</v>
      </c>
      <c r="J3" t="str">
        <f>IFERROR(VLOOKUP(TableInvoiceDetails[[#This Row],[Service_ID]],TableServices[],6,0),"")</f>
        <v>NADRA</v>
      </c>
    </row>
    <row r="4" spans="1:10" x14ac:dyDescent="0.3">
      <c r="A4" t="s">
        <v>179</v>
      </c>
      <c r="B4" t="str">
        <f>IF(TableInvoiceDetails[[#This Row],[Service_Name]]&gt;0,_xlfn.XLOOKUP(TableInvoiceDetails[[#This Row],[Service_Name]],TableServices[Service_Name],TableServices[Service_ID],"-",0,1),"")</f>
        <v>SRV-0013</v>
      </c>
      <c r="C4" t="s">
        <v>35</v>
      </c>
      <c r="D4" t="s">
        <v>67</v>
      </c>
      <c r="E4">
        <v>2</v>
      </c>
      <c r="F4">
        <v>900</v>
      </c>
      <c r="G4">
        <v>400</v>
      </c>
      <c r="H4">
        <v>100</v>
      </c>
      <c r="I4">
        <v>1500</v>
      </c>
      <c r="J4" t="str">
        <f>IFERROR(VLOOKUP(TableInvoiceDetails[[#This Row],[Service_ID]],TableServices[],6,0),"")</f>
        <v>Union Concil</v>
      </c>
    </row>
    <row r="5" spans="1:10" x14ac:dyDescent="0.3">
      <c r="A5" t="s">
        <v>179</v>
      </c>
      <c r="B5" t="str">
        <f>IF(TableInvoiceDetails[[#This Row],[Service_Name]]&gt;0,_xlfn.XLOOKUP(TableInvoiceDetails[[#This Row],[Service_Name]],TableServices[Service_Name],TableServices[Service_ID],"-",0,1),"")</f>
        <v>SRV-0032</v>
      </c>
      <c r="C5" t="s">
        <v>54</v>
      </c>
      <c r="D5" t="s">
        <v>86</v>
      </c>
      <c r="E5">
        <v>1</v>
      </c>
      <c r="F5">
        <v>1000</v>
      </c>
      <c r="G5">
        <v>0</v>
      </c>
      <c r="H5">
        <v>0</v>
      </c>
      <c r="I5">
        <v>1000</v>
      </c>
      <c r="J5" t="str">
        <f>IFERROR(VLOOKUP(TableInvoiceDetails[[#This Row],[Service_ID]],TableServices[],6,0),"")</f>
        <v>Online Payments</v>
      </c>
    </row>
    <row r="6" spans="1:10" x14ac:dyDescent="0.3">
      <c r="A6" t="s">
        <v>179</v>
      </c>
      <c r="B6" t="str">
        <f>IF(TableInvoiceDetails[[#This Row],[Service_Name]]&gt;0,_xlfn.XLOOKUP(TableInvoiceDetails[[#This Row],[Service_Name]],TableServices[Service_Name],TableServices[Service_ID],"-",0,1),"")</f>
        <v>SRV-0030</v>
      </c>
      <c r="C6" t="s">
        <v>52</v>
      </c>
      <c r="D6" t="s">
        <v>84</v>
      </c>
      <c r="E6">
        <v>1</v>
      </c>
      <c r="F6">
        <v>700</v>
      </c>
      <c r="G6">
        <v>0</v>
      </c>
      <c r="H6">
        <v>0</v>
      </c>
      <c r="I6">
        <v>700</v>
      </c>
      <c r="J6" t="str">
        <f>IFERROR(VLOOKUP(TableInvoiceDetails[[#This Row],[Service_ID]],TableServices[],6,0),"")</f>
        <v>Excise &amp; Taxation</v>
      </c>
    </row>
    <row r="7" spans="1:10" x14ac:dyDescent="0.3">
      <c r="A7" t="s">
        <v>183</v>
      </c>
      <c r="B7" t="str">
        <f>IF(TableInvoiceDetails[[#This Row],[Service_Name]]&gt;0,_xlfn.XLOOKUP(TableInvoiceDetails[[#This Row],[Service_Name]],TableServices[Service_Name],TableServices[Service_ID],"-",0,1),"")</f>
        <v>SRV-0016</v>
      </c>
      <c r="C7" t="s">
        <v>38</v>
      </c>
      <c r="D7" t="s">
        <v>70</v>
      </c>
      <c r="E7">
        <v>1</v>
      </c>
      <c r="F7">
        <v>3000</v>
      </c>
      <c r="I7">
        <v>3000</v>
      </c>
      <c r="J7" t="str">
        <f>IFERROR(VLOOKUP(TableInvoiceDetails[[#This Row],[Service_ID]],TableServices[],6,0),"")</f>
        <v>Union Concil</v>
      </c>
    </row>
    <row r="8" spans="1:10" x14ac:dyDescent="0.3">
      <c r="A8" t="s">
        <v>183</v>
      </c>
      <c r="B8" t="str">
        <f>IF(TableInvoiceDetails[[#This Row],[Service_Name]]&gt;0,_xlfn.XLOOKUP(TableInvoiceDetails[[#This Row],[Service_Name]],TableServices[Service_Name],TableServices[Service_ID],"-",0,1),"")</f>
        <v>SRV-0004</v>
      </c>
      <c r="C8" t="s">
        <v>26</v>
      </c>
      <c r="D8" t="s">
        <v>59</v>
      </c>
      <c r="E8">
        <v>20</v>
      </c>
      <c r="F8">
        <v>30</v>
      </c>
      <c r="I8">
        <v>600</v>
      </c>
      <c r="J8" t="str">
        <f>IFERROR(VLOOKUP(TableInvoiceDetails[[#This Row],[Service_ID]],TableServices[],6,0),"")</f>
        <v>Photocopy</v>
      </c>
    </row>
    <row r="9" spans="1:10" x14ac:dyDescent="0.3">
      <c r="A9" t="s">
        <v>185</v>
      </c>
      <c r="B9" t="str">
        <f>IF(TableInvoiceDetails[[#This Row],[Service_Name]]&gt;0,_xlfn.XLOOKUP(TableInvoiceDetails[[#This Row],[Service_Name]],TableServices[Service_Name],TableServices[Service_ID],"-",0,1),"")</f>
        <v>SRV-0015</v>
      </c>
      <c r="C9" t="s">
        <v>37</v>
      </c>
      <c r="D9" t="s">
        <v>69</v>
      </c>
      <c r="E9">
        <v>2</v>
      </c>
      <c r="F9">
        <v>2000</v>
      </c>
      <c r="I9">
        <v>4000</v>
      </c>
      <c r="J9" t="str">
        <f>IFERROR(VLOOKUP(TableInvoiceDetails[[#This Row],[Service_ID]],TableServices[],6,0),"")</f>
        <v>Union Concil</v>
      </c>
    </row>
    <row r="10" spans="1:10" x14ac:dyDescent="0.3">
      <c r="A10" t="s">
        <v>185</v>
      </c>
      <c r="B10" t="str">
        <f>IF(TableInvoiceDetails[[#This Row],[Service_Name]]&gt;0,_xlfn.XLOOKUP(TableInvoiceDetails[[#This Row],[Service_Name]],TableServices[Service_Name],TableServices[Service_ID],"-",0,1),"")</f>
        <v>SRV-0003</v>
      </c>
      <c r="C10" t="s">
        <v>25</v>
      </c>
      <c r="D10" t="s">
        <v>58</v>
      </c>
      <c r="E10">
        <v>100</v>
      </c>
      <c r="F10">
        <v>4</v>
      </c>
      <c r="G10">
        <v>0</v>
      </c>
      <c r="H10">
        <v>0</v>
      </c>
      <c r="I10">
        <v>400</v>
      </c>
      <c r="J10" t="str">
        <f>IFERROR(VLOOKUP(TableInvoiceDetails[[#This Row],[Service_ID]],TableServices[],6,0),"")</f>
        <v>Photocopy</v>
      </c>
    </row>
    <row r="11" spans="1:10" x14ac:dyDescent="0.3">
      <c r="A11" t="s">
        <v>181</v>
      </c>
      <c r="B11" t="str">
        <f>IF(TableInvoiceDetails[[#This Row],[Service_Name]]&gt;0,_xlfn.XLOOKUP(TableInvoiceDetails[[#This Row],[Service_Name]],TableServices[Service_Name],TableServices[Service_ID],"-",0,1),"")</f>
        <v>SRV-0029</v>
      </c>
      <c r="C11" t="s">
        <v>51</v>
      </c>
      <c r="D11" t="s">
        <v>83</v>
      </c>
      <c r="E11">
        <v>2</v>
      </c>
      <c r="F11">
        <v>150</v>
      </c>
      <c r="G11">
        <v>0</v>
      </c>
      <c r="H11">
        <v>0</v>
      </c>
      <c r="I11">
        <v>300</v>
      </c>
      <c r="J11" t="str">
        <f>IFERROR(VLOOKUP(TableInvoiceDetails[[#This Row],[Service_ID]],TableServices[],6,0),"")</f>
        <v>NADRA</v>
      </c>
    </row>
    <row r="12" spans="1:10" x14ac:dyDescent="0.3">
      <c r="A12" t="s">
        <v>181</v>
      </c>
      <c r="B12" t="str">
        <f>IF(TableInvoiceDetails[[#This Row],[Service_Name]]&gt;0,_xlfn.XLOOKUP(TableInvoiceDetails[[#This Row],[Service_Name]],TableServices[Service_Name],TableServices[Service_ID],"-",0,1),"")</f>
        <v>SRV-0010</v>
      </c>
      <c r="C12" t="s">
        <v>32</v>
      </c>
      <c r="D12" t="s">
        <v>96</v>
      </c>
      <c r="E12">
        <v>2</v>
      </c>
      <c r="F12">
        <v>3000</v>
      </c>
      <c r="G12">
        <v>300</v>
      </c>
      <c r="H12">
        <v>0</v>
      </c>
      <c r="I12">
        <v>5700</v>
      </c>
      <c r="J12" t="str">
        <f>IFERROR(VLOOKUP(TableInvoiceDetails[[#This Row],[Service_ID]],TableServices[],6,0),"")</f>
        <v>NADRA</v>
      </c>
    </row>
    <row r="13" spans="1:10" x14ac:dyDescent="0.3">
      <c r="A13" t="s">
        <v>202</v>
      </c>
      <c r="B13" t="str">
        <f>IF(TableInvoiceDetails[[#This Row],[Service_Name]]&gt;0,_xlfn.XLOOKUP(TableInvoiceDetails[[#This Row],[Service_Name]],TableServices[Service_Name],TableServices[Service_ID],"-",0,1),"")</f>
        <v>SRV-0009</v>
      </c>
      <c r="C13" t="s">
        <v>31</v>
      </c>
      <c r="D13" t="s">
        <v>64</v>
      </c>
      <c r="E13">
        <v>1</v>
      </c>
      <c r="F13">
        <v>900</v>
      </c>
      <c r="I13">
        <v>900</v>
      </c>
      <c r="J13" s="11" t="str">
        <f>IFERROR(VLOOKUP(TableInvoiceDetails[[#This Row],[Service_ID]],TableServices[],6,0),"")</f>
        <v>NADRA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2A8ED-76D0-4D91-8A5E-39F7C3710807}">
  <sheetPr codeName="Sheet11"/>
  <dimension ref="A1:I2"/>
  <sheetViews>
    <sheetView workbookViewId="0">
      <selection activeCell="F12" sqref="F12"/>
    </sheetView>
  </sheetViews>
  <sheetFormatPr defaultRowHeight="14.4" x14ac:dyDescent="0.3"/>
  <cols>
    <col min="1" max="4" width="15.5546875" customWidth="1"/>
    <col min="5" max="5" width="16.33203125" bestFit="1" customWidth="1"/>
    <col min="6" max="6" width="23.109375" customWidth="1"/>
    <col min="7" max="7" width="16" customWidth="1"/>
    <col min="8" max="8" width="16.88671875" customWidth="1"/>
    <col min="9" max="9" width="16.5546875" customWidth="1"/>
  </cols>
  <sheetData>
    <row r="1" spans="1:9" x14ac:dyDescent="0.3">
      <c r="A1" t="s">
        <v>176</v>
      </c>
      <c r="B1" t="s">
        <v>208</v>
      </c>
      <c r="C1" t="s">
        <v>204</v>
      </c>
      <c r="D1" t="s">
        <v>21</v>
      </c>
      <c r="E1" t="s">
        <v>22</v>
      </c>
      <c r="F1" t="s">
        <v>7</v>
      </c>
      <c r="G1" t="s">
        <v>177</v>
      </c>
      <c r="H1" t="s">
        <v>169</v>
      </c>
      <c r="I1" t="s">
        <v>207</v>
      </c>
    </row>
    <row r="2" spans="1:9" x14ac:dyDescent="0.3">
      <c r="A2" t="str">
        <f>"JRN-"&amp;TEXT(ROW()-1,"00000")</f>
        <v>JRN-00001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24563-B1E7-48C7-956D-3F65D4260412}">
  <sheetPr codeName="Sheet13"/>
  <dimension ref="A1:I1"/>
  <sheetViews>
    <sheetView workbookViewId="0">
      <selection activeCell="H21" sqref="H21"/>
    </sheetView>
  </sheetViews>
  <sheetFormatPr defaultRowHeight="14.4" x14ac:dyDescent="0.3"/>
  <cols>
    <col min="1" max="5" width="16.44140625" customWidth="1"/>
    <col min="6" max="6" width="18.21875" customWidth="1"/>
    <col min="7" max="9" width="16.44140625" customWidth="1"/>
  </cols>
  <sheetData>
    <row r="1" spans="1:9" x14ac:dyDescent="0.3">
      <c r="A1" s="66" t="s">
        <v>205</v>
      </c>
      <c r="B1" s="66" t="s">
        <v>10</v>
      </c>
      <c r="C1" s="66" t="s">
        <v>21</v>
      </c>
      <c r="D1" s="66" t="s">
        <v>22</v>
      </c>
      <c r="E1" s="66" t="s">
        <v>206</v>
      </c>
      <c r="F1" s="66" t="s">
        <v>117</v>
      </c>
      <c r="G1" s="67" t="s">
        <v>136</v>
      </c>
      <c r="H1" s="66" t="s">
        <v>204</v>
      </c>
      <c r="I1" s="66" t="s">
        <v>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C4D6-7C94-4C65-A3F9-B370E4613537}">
  <sheetPr codeName="Sheet10"/>
  <dimension ref="D4:G7"/>
  <sheetViews>
    <sheetView workbookViewId="0">
      <selection activeCell="M11" sqref="M11"/>
    </sheetView>
  </sheetViews>
  <sheetFormatPr defaultRowHeight="14.4" x14ac:dyDescent="0.3"/>
  <cols>
    <col min="4" max="4" width="18.21875" customWidth="1"/>
    <col min="7" max="7" width="16.6640625" customWidth="1"/>
  </cols>
  <sheetData>
    <row r="4" spans="4:7" x14ac:dyDescent="0.3">
      <c r="D4" t="s">
        <v>173</v>
      </c>
      <c r="G4" t="s">
        <v>174</v>
      </c>
    </row>
    <row r="5" spans="4:7" x14ac:dyDescent="0.3">
      <c r="D5" t="s">
        <v>167</v>
      </c>
      <c r="G5" t="s">
        <v>170</v>
      </c>
    </row>
    <row r="6" spans="4:7" x14ac:dyDescent="0.3">
      <c r="D6" t="s">
        <v>168</v>
      </c>
      <c r="G6" t="s">
        <v>172</v>
      </c>
    </row>
    <row r="7" spans="4:7" x14ac:dyDescent="0.3">
      <c r="D7" t="s">
        <v>169</v>
      </c>
      <c r="G7" t="s">
        <v>171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7C3AE-53D6-4F6A-B316-D5FB54A4249E}">
  <sheetPr codeName="Sheet6"/>
  <dimension ref="A1"/>
  <sheetViews>
    <sheetView workbookViewId="0">
      <selection activeCell="I20" sqref="I20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803AD-9E31-4889-84F0-0DF01402B551}">
  <sheetPr codeName="Sheet7"/>
  <dimension ref="A1:E2"/>
  <sheetViews>
    <sheetView workbookViewId="0">
      <selection activeCell="D2" sqref="D2"/>
    </sheetView>
  </sheetViews>
  <sheetFormatPr defaultRowHeight="14.4" x14ac:dyDescent="0.3"/>
  <cols>
    <col min="1" max="1" width="25.88671875" bestFit="1" customWidth="1"/>
    <col min="2" max="2" width="17" customWidth="1"/>
    <col min="4" max="4" width="22.33203125" customWidth="1"/>
    <col min="5" max="5" width="10.88671875" customWidth="1"/>
  </cols>
  <sheetData>
    <row r="1" spans="1:5" x14ac:dyDescent="0.3">
      <c r="A1" s="2" t="s">
        <v>122</v>
      </c>
      <c r="B1" s="3" t="s">
        <v>118</v>
      </c>
      <c r="C1" s="3" t="s">
        <v>121</v>
      </c>
      <c r="D1" s="3" t="s">
        <v>119</v>
      </c>
      <c r="E1" s="4" t="s">
        <v>120</v>
      </c>
    </row>
    <row r="2" spans="1:5" x14ac:dyDescent="0.3">
      <c r="A2" s="5">
        <v>46250</v>
      </c>
      <c r="B2" s="6">
        <v>46615</v>
      </c>
      <c r="C2" s="1" t="s">
        <v>124</v>
      </c>
      <c r="D2" s="1" t="s">
        <v>123</v>
      </c>
      <c r="E2" s="7">
        <v>123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DB_Accounts</vt:lpstr>
      <vt:lpstr>DB_Services</vt:lpstr>
      <vt:lpstr>Purchase_Entry</vt:lpstr>
      <vt:lpstr>DB_Purchases</vt:lpstr>
      <vt:lpstr>DB_Purchase_Details</vt:lpstr>
      <vt:lpstr>Invoice_Entry</vt:lpstr>
      <vt:lpstr>DB_Invoices</vt:lpstr>
      <vt:lpstr>DB_Invoice_Details</vt:lpstr>
      <vt:lpstr>DB_Journal</vt:lpstr>
      <vt:lpstr>DB_Payments</vt:lpstr>
      <vt:lpstr>Drop_Down</vt:lpstr>
      <vt:lpstr>Settings</vt:lpstr>
      <vt:lpstr>Admin_System</vt:lpstr>
      <vt:lpstr>Invoice_Entry!Print_Area</vt:lpstr>
      <vt:lpstr>Purchase_Entry!Print_Area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Afaq Ali</dc:creator>
  <cp:lastModifiedBy>Afaq Ali</cp:lastModifiedBy>
  <cp:lastPrinted>2026-08-17T11:51:29Z</cp:lastPrinted>
  <dcterms:created xsi:type="dcterms:W3CDTF">2026-08-15T17:40:34Z</dcterms:created>
  <dcterms:modified xsi:type="dcterms:W3CDTF">2026-08-18T18:15:17Z</dcterms:modified>
</cp:coreProperties>
</file>